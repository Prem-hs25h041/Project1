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a32605ed8c7f0/Desktop/DATASETS/"/>
    </mc:Choice>
  </mc:AlternateContent>
  <xr:revisionPtr revIDLastSave="66" documentId="8_{6F719660-567F-4A51-971E-A4040EC251B3}" xr6:coauthVersionLast="47" xr6:coauthVersionMax="47" xr10:uidLastSave="{BC74ECCB-13FE-4E22-8AB4-261C023CAFD4}"/>
  <bookViews>
    <workbookView xWindow="-108" yWindow="-108" windowWidth="23256" windowHeight="12456" activeTab="1" xr2:uid="{B29727F7-B09E-44E4-AE66-7CBFCCECB41F}"/>
  </bookViews>
  <sheets>
    <sheet name="user_behavior_dataset" sheetId="1" r:id="rId1"/>
    <sheet name="Sheet2" sheetId="3" r:id="rId2"/>
    <sheet name="Sheet1" sheetId="2" r:id="rId3"/>
  </sheets>
  <definedNames>
    <definedName name="_xlnm._FilterDatabase" localSheetId="2" hidden="1">Sheet1!$A$1:$L$701</definedName>
    <definedName name="_xlnm._FilterDatabase" localSheetId="0" hidden="1">user_behavior_dataset!$A$1:$K$701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J6" i="3"/>
  <c r="J5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2" i="2"/>
  <c r="I703" i="1"/>
</calcChain>
</file>

<file path=xl/sharedStrings.xml><?xml version="1.0" encoding="utf-8"?>
<sst xmlns="http://schemas.openxmlformats.org/spreadsheetml/2006/main" count="4235" uniqueCount="25">
  <si>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</si>
  <si>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</si>
  <si>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</si>
  <si>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</si>
  <si>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</si>
  <si>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</si>
  <si>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</si>
  <si>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</si>
  <si>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</si>
  <si>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</si>
  <si>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</si>
  <si>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</si>
  <si>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</si>
  <si>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</si>
  <si>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</si>
  <si>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</si>
  <si>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</si>
  <si>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</si>
  <si>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</si>
  <si>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</si>
  <si>
    <t>age+caterogy</t>
  </si>
  <si>
    <t>Row Labels</t>
  </si>
  <si>
    <t>Grand Total</t>
  </si>
  <si>
    <t>Column Labels</t>
  </si>
  <si>
    <t>Sum of Screen On Time (hours/day)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</si>
</sst>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6" fillId="34" borderId="10" xfId="0" applyFont="1" applyFill="1" applyBorder="1"/>
    <xf numFmtId="0" fontId="0" fillId="0" borderId="0" xfId="0" applyNumberFormat="1"/>
    <xf numFmtId="0" fontId="16" fillId="34" borderId="11" xfId="0" applyFont="1" applyFill="1" applyBorder="1" applyAlignment="1">
      <alignment horizontal="left"/>
    </xf>
    <xf numFmtId="0" fontId="16" fillId="34" borderId="11" xfId="0" applyNumberFormat="1" applyFont="1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 R" refreshedDate="46068.657257870371" createdVersion="8" refreshedVersion="8" minRefreshableVersion="3" recordCount="700" xr:uid="{01F2A89E-5938-40AC-A8D3-EF4B701C3286}">
  <cacheSource type="worksheet">
    <worksheetSource ref="A1:L701" sheet="Sheet1"/>
  </cacheSource>
  <cacheFields count="12">
    <cacheField name="User ID" numFmtId="0">
      <sharedItems containsSemiMixedTypes="0" containsString="0" containsNumber="1" containsInteger="1" minValue="1" maxValue="700"/>
    </cacheField>
    <cacheField name="Device Model" numFmtId="0">
      <sharedItems/>
    </cacheField>
    <cacheField name="Operating System" numFmtId="0">
      <sharedItems/>
    </cacheField>
    <cacheField name="App Usage Time (min/day)" numFmtId="0">
      <sharedItems containsSemiMixedTypes="0" containsString="0" containsNumber="1" containsInteger="1" minValue="30" maxValue="598"/>
    </cacheField>
    <cacheField name="Screen On Time (hours/day)" numFmtId="0">
      <sharedItems containsSemiMixedTypes="0" containsString="0" containsNumber="1" minValue="1" maxValue="12" count="108">
        <n v="6.4"/>
        <n v="4.7"/>
        <n v="4"/>
        <n v="4.8"/>
        <n v="4.3"/>
        <n v="2"/>
        <n v="7.3"/>
        <n v="11.4"/>
        <n v="7.7"/>
        <n v="6.6"/>
        <n v="1.4"/>
        <n v="5.5"/>
        <n v="6.2"/>
        <n v="4.9000000000000004"/>
        <n v="5.4"/>
        <n v="10.4"/>
        <n v="3.6"/>
        <n v="5.8"/>
        <n v="8.5"/>
        <n v="2.6"/>
        <n v="11.6"/>
        <n v="6.5"/>
        <n v="5.6"/>
        <n v="3.4"/>
        <n v="7.6"/>
        <n v="10.5"/>
        <n v="6.8"/>
        <n v="6"/>
        <n v="4.5999999999999996"/>
        <n v="10.199999999999999"/>
        <n v="1.2"/>
        <n v="3.3"/>
        <n v="11.2"/>
        <n v="10.1"/>
        <n v="2.1"/>
        <n v="3.7"/>
        <n v="2.4"/>
        <n v="10.9"/>
        <n v="8.4"/>
        <n v="8.1999999999999993"/>
        <n v="8.6999999999999993"/>
        <n v="7.4"/>
        <n v="5.9"/>
        <n v="2.7"/>
        <n v="2.2000000000000002"/>
        <n v="1.6"/>
        <n v="1.1000000000000001"/>
        <n v="7"/>
        <n v="7.1"/>
        <n v="11.9"/>
        <n v="7.5"/>
        <n v="1.9"/>
        <n v="11.5"/>
        <n v="4.5"/>
        <n v="1.7"/>
        <n v="7.2"/>
        <n v="9"/>
        <n v="6.3"/>
        <n v="5.7"/>
        <n v="2.5"/>
        <n v="1.8"/>
        <n v="10.6"/>
        <n v="2.8"/>
        <n v="1.5"/>
        <n v="4.0999999999999996"/>
        <n v="9.5"/>
        <n v="12"/>
        <n v="4.2"/>
        <n v="3.8"/>
        <n v="8.6"/>
        <n v="5.0999999999999996"/>
        <n v="3.2"/>
        <n v="7.9"/>
        <n v="5.2"/>
        <n v="10"/>
        <n v="8.1"/>
        <n v="11.8"/>
        <n v="10.8"/>
        <n v="1"/>
        <n v="11.3"/>
        <n v="9.6999999999999993"/>
        <n v="11.1"/>
        <n v="5.3"/>
        <n v="9.4"/>
        <n v="7.8"/>
        <n v="9.1999999999999993"/>
        <n v="10.7"/>
        <n v="4.4000000000000004"/>
        <n v="8.9"/>
        <n v="1.3"/>
        <n v="3.1"/>
        <n v="9.3000000000000007"/>
        <n v="6.1"/>
        <n v="6.9"/>
        <n v="9.6"/>
        <n v="2.2999999999999998"/>
        <n v="11.7"/>
        <n v="3.5"/>
        <n v="5"/>
        <n v="2.9"/>
        <n v="3"/>
        <n v="8.3000000000000007"/>
        <n v="9.8000000000000007"/>
        <n v="10.3"/>
        <n v="3.9"/>
        <n v="8.8000000000000007"/>
        <n v="9.1"/>
        <n v="6.7"/>
      </sharedItems>
    </cacheField>
    <cacheField name="Battery Drain (mAh/day)" numFmtId="0">
      <sharedItems containsSemiMixedTypes="0" containsString="0" containsNumber="1" containsInteger="1" minValue="302" maxValue="2993"/>
    </cacheField>
    <cacheField name="Number of Apps Installed" numFmtId="0">
      <sharedItems containsSemiMixedTypes="0" containsString="0" containsNumber="1" containsInteger="1" minValue="10" maxValue="99"/>
    </cacheField>
    <cacheField name="Data Usage (MB/day)" numFmtId="0">
      <sharedItems containsSemiMixedTypes="0" containsString="0" containsNumber="1" containsInteger="1" minValue="102" maxValue="2497"/>
    </cacheField>
    <cacheField name="Age" numFmtId="0">
      <sharedItems containsSemiMixedTypes="0" containsString="0" containsNumber="1" containsInteger="1" minValue="18" maxValue="59" count="42">
        <n v="40"/>
        <n v="47"/>
        <n v="42"/>
        <n v="20"/>
        <n v="31"/>
        <n v="21"/>
        <n v="34"/>
        <n v="24"/>
        <n v="57"/>
        <n v="43"/>
        <n v="49"/>
        <n v="39"/>
        <n v="44"/>
        <n v="26"/>
        <n v="29"/>
        <n v="45"/>
        <n v="23"/>
        <n v="37"/>
        <n v="58"/>
        <n v="52"/>
        <n v="33"/>
        <n v="55"/>
        <n v="19"/>
        <n v="25"/>
        <n v="38"/>
        <n v="56"/>
        <n v="18"/>
        <n v="22"/>
        <n v="27"/>
        <n v="54"/>
        <n v="53"/>
        <n v="30"/>
        <n v="28"/>
        <n v="50"/>
        <n v="51"/>
        <n v="41"/>
        <n v="32"/>
        <n v="35"/>
        <n v="36"/>
        <n v="59"/>
        <n v="48"/>
        <n v="46"/>
      </sharedItems>
    </cacheField>
    <cacheField name="Gender" numFmtId="0">
      <sharedItems count="2">
        <s v="Male"/>
        <s v="Female"/>
      </sharedItems>
    </cacheField>
    <cacheField name="User Behavior Class" numFmtId="0">
      <sharedItems containsSemiMixedTypes="0" containsString="0" containsNumber="1" containsInteger="1" minValue="1" maxValue="5"/>
    </cacheField>
    <cacheField name="age+caterogy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"/>
    <s v="Google Pixel 5"/>
    <s v="Android"/>
    <n v="393"/>
    <x v="0"/>
    <n v="1872"/>
    <n v="67"/>
    <n v="1122"/>
    <x v="0"/>
    <x v="0"/>
    <n v="4"/>
    <x v="0"/>
  </r>
  <r>
    <n v="2"/>
    <s v="OnePlus 9"/>
    <s v="Android"/>
    <n v="268"/>
    <x v="1"/>
    <n v="1331"/>
    <n v="42"/>
    <n v="944"/>
    <x v="1"/>
    <x v="1"/>
    <n v="3"/>
    <x v="0"/>
  </r>
  <r>
    <n v="3"/>
    <s v="Xiaomi Mi 11"/>
    <s v="Android"/>
    <n v="154"/>
    <x v="2"/>
    <n v="761"/>
    <n v="32"/>
    <n v="322"/>
    <x v="2"/>
    <x v="0"/>
    <n v="2"/>
    <x v="0"/>
  </r>
  <r>
    <n v="4"/>
    <s v="Google Pixel 5"/>
    <s v="Android"/>
    <n v="239"/>
    <x v="3"/>
    <n v="1676"/>
    <n v="56"/>
    <n v="871"/>
    <x v="3"/>
    <x v="0"/>
    <n v="3"/>
    <x v="1"/>
  </r>
  <r>
    <n v="5"/>
    <s v="iPhone 12"/>
    <s v="iOS"/>
    <n v="187"/>
    <x v="4"/>
    <n v="1367"/>
    <n v="58"/>
    <n v="988"/>
    <x v="4"/>
    <x v="1"/>
    <n v="3"/>
    <x v="1"/>
  </r>
  <r>
    <n v="6"/>
    <s v="Google Pixel 5"/>
    <s v="Android"/>
    <n v="99"/>
    <x v="5"/>
    <n v="940"/>
    <n v="35"/>
    <n v="564"/>
    <x v="4"/>
    <x v="0"/>
    <n v="2"/>
    <x v="1"/>
  </r>
  <r>
    <n v="7"/>
    <s v="Samsung Galaxy S21"/>
    <s v="Android"/>
    <n v="350"/>
    <x v="6"/>
    <n v="1802"/>
    <n v="66"/>
    <n v="1054"/>
    <x v="5"/>
    <x v="1"/>
    <n v="4"/>
    <x v="1"/>
  </r>
  <r>
    <n v="8"/>
    <s v="OnePlus 9"/>
    <s v="Android"/>
    <n v="543"/>
    <x v="7"/>
    <n v="2956"/>
    <n v="82"/>
    <n v="1702"/>
    <x v="4"/>
    <x v="0"/>
    <n v="5"/>
    <x v="1"/>
  </r>
  <r>
    <n v="9"/>
    <s v="Samsung Galaxy S21"/>
    <s v="Android"/>
    <n v="340"/>
    <x v="8"/>
    <n v="2138"/>
    <n v="75"/>
    <n v="1053"/>
    <x v="2"/>
    <x v="1"/>
    <n v="4"/>
    <x v="0"/>
  </r>
  <r>
    <n v="10"/>
    <s v="iPhone 12"/>
    <s v="iOS"/>
    <n v="424"/>
    <x v="9"/>
    <n v="1957"/>
    <n v="75"/>
    <n v="1301"/>
    <x v="2"/>
    <x v="0"/>
    <n v="4"/>
    <x v="0"/>
  </r>
  <r>
    <n v="11"/>
    <s v="Google Pixel 5"/>
    <s v="Android"/>
    <n v="53"/>
    <x v="10"/>
    <n v="435"/>
    <n v="17"/>
    <n v="162"/>
    <x v="6"/>
    <x v="1"/>
    <n v="1"/>
    <x v="1"/>
  </r>
  <r>
    <n v="12"/>
    <s v="OnePlus 9"/>
    <s v="Android"/>
    <n v="215"/>
    <x v="11"/>
    <n v="1690"/>
    <n v="47"/>
    <n v="641"/>
    <x v="7"/>
    <x v="0"/>
    <n v="3"/>
    <x v="1"/>
  </r>
  <r>
    <n v="13"/>
    <s v="OnePlus 9"/>
    <s v="Android"/>
    <n v="462"/>
    <x v="12"/>
    <n v="2303"/>
    <n v="65"/>
    <n v="1099"/>
    <x v="8"/>
    <x v="1"/>
    <n v="4"/>
    <x v="0"/>
  </r>
  <r>
    <n v="14"/>
    <s v="Xiaomi Mi 11"/>
    <s v="Android"/>
    <n v="215"/>
    <x v="13"/>
    <n v="1662"/>
    <n v="43"/>
    <n v="857"/>
    <x v="9"/>
    <x v="0"/>
    <n v="3"/>
    <x v="0"/>
  </r>
  <r>
    <n v="15"/>
    <s v="iPhone 12"/>
    <s v="iOS"/>
    <n v="189"/>
    <x v="14"/>
    <n v="1754"/>
    <n v="53"/>
    <n v="779"/>
    <x v="10"/>
    <x v="1"/>
    <n v="3"/>
    <x v="0"/>
  </r>
  <r>
    <n v="16"/>
    <s v="Google Pixel 5"/>
    <s v="Android"/>
    <n v="503"/>
    <x v="15"/>
    <n v="2571"/>
    <n v="84"/>
    <n v="2025"/>
    <x v="11"/>
    <x v="1"/>
    <n v="5"/>
    <x v="0"/>
  </r>
  <r>
    <n v="17"/>
    <s v="OnePlus 9"/>
    <s v="Android"/>
    <n v="132"/>
    <x v="16"/>
    <n v="628"/>
    <n v="32"/>
    <n v="344"/>
    <x v="1"/>
    <x v="1"/>
    <n v="2"/>
    <x v="0"/>
  </r>
  <r>
    <n v="18"/>
    <s v="iPhone 12"/>
    <s v="iOS"/>
    <n v="299"/>
    <x v="17"/>
    <n v="1431"/>
    <n v="41"/>
    <n v="985"/>
    <x v="12"/>
    <x v="1"/>
    <n v="3"/>
    <x v="0"/>
  </r>
  <r>
    <n v="19"/>
    <s v="Google Pixel 5"/>
    <s v="Android"/>
    <n v="81"/>
    <x v="10"/>
    <n v="558"/>
    <n v="16"/>
    <n v="297"/>
    <x v="13"/>
    <x v="1"/>
    <n v="1"/>
    <x v="1"/>
  </r>
  <r>
    <n v="20"/>
    <s v="iPhone 12"/>
    <s v="iOS"/>
    <n v="577"/>
    <x v="18"/>
    <n v="2774"/>
    <n v="89"/>
    <n v="2192"/>
    <x v="14"/>
    <x v="1"/>
    <n v="5"/>
    <x v="1"/>
  </r>
  <r>
    <n v="21"/>
    <s v="Samsung Galaxy S21"/>
    <s v="Android"/>
    <n v="93"/>
    <x v="19"/>
    <n v="681"/>
    <n v="37"/>
    <n v="302"/>
    <x v="15"/>
    <x v="1"/>
    <n v="2"/>
    <x v="0"/>
  </r>
  <r>
    <n v="22"/>
    <s v="OnePlus 9"/>
    <s v="Android"/>
    <n v="576"/>
    <x v="20"/>
    <n v="2803"/>
    <n v="82"/>
    <n v="1553"/>
    <x v="9"/>
    <x v="1"/>
    <n v="5"/>
    <x v="0"/>
  </r>
  <r>
    <n v="23"/>
    <s v="Samsung Galaxy S21"/>
    <s v="Android"/>
    <n v="423"/>
    <x v="21"/>
    <n v="2094"/>
    <n v="65"/>
    <n v="1372"/>
    <x v="16"/>
    <x v="1"/>
    <n v="4"/>
    <x v="1"/>
  </r>
  <r>
    <n v="24"/>
    <s v="Google Pixel 5"/>
    <s v="Android"/>
    <n v="292"/>
    <x v="22"/>
    <n v="1401"/>
    <n v="46"/>
    <n v="949"/>
    <x v="17"/>
    <x v="1"/>
    <n v="3"/>
    <x v="0"/>
  </r>
  <r>
    <n v="25"/>
    <s v="OnePlus 9"/>
    <s v="Android"/>
    <n v="216"/>
    <x v="2"/>
    <n v="1711"/>
    <n v="59"/>
    <n v="748"/>
    <x v="18"/>
    <x v="0"/>
    <n v="3"/>
    <x v="0"/>
  </r>
  <r>
    <n v="26"/>
    <s v="Samsung Galaxy S21"/>
    <s v="Android"/>
    <n v="91"/>
    <x v="23"/>
    <n v="1073"/>
    <n v="38"/>
    <n v="451"/>
    <x v="19"/>
    <x v="0"/>
    <n v="2"/>
    <x v="0"/>
  </r>
  <r>
    <n v="27"/>
    <s v="iPhone 12"/>
    <s v="iOS"/>
    <n v="444"/>
    <x v="24"/>
    <n v="2372"/>
    <n v="77"/>
    <n v="1002"/>
    <x v="14"/>
    <x v="0"/>
    <n v="4"/>
    <x v="1"/>
  </r>
  <r>
    <n v="28"/>
    <s v="Google Pixel 5"/>
    <s v="Android"/>
    <n v="512"/>
    <x v="25"/>
    <n v="2409"/>
    <n v="89"/>
    <n v="1599"/>
    <x v="20"/>
    <x v="0"/>
    <n v="5"/>
    <x v="1"/>
  </r>
  <r>
    <n v="29"/>
    <s v="OnePlus 9"/>
    <s v="Android"/>
    <n v="452"/>
    <x v="26"/>
    <n v="2387"/>
    <n v="77"/>
    <n v="1456"/>
    <x v="21"/>
    <x v="1"/>
    <n v="4"/>
    <x v="0"/>
  </r>
  <r>
    <n v="30"/>
    <s v="Samsung Galaxy S21"/>
    <s v="Android"/>
    <n v="412"/>
    <x v="12"/>
    <n v="1899"/>
    <n v="78"/>
    <n v="1384"/>
    <x v="22"/>
    <x v="1"/>
    <n v="4"/>
    <x v="1"/>
  </r>
  <r>
    <n v="31"/>
    <s v="Xiaomi Mi 11"/>
    <s v="Android"/>
    <n v="260"/>
    <x v="27"/>
    <n v="1361"/>
    <n v="44"/>
    <n v="889"/>
    <x v="17"/>
    <x v="1"/>
    <n v="3"/>
    <x v="0"/>
  </r>
  <r>
    <n v="32"/>
    <s v="Xiaomi Mi 11"/>
    <s v="Android"/>
    <n v="197"/>
    <x v="28"/>
    <n v="1660"/>
    <n v="59"/>
    <n v="975"/>
    <x v="23"/>
    <x v="0"/>
    <n v="3"/>
    <x v="1"/>
  </r>
  <r>
    <n v="33"/>
    <s v="Google Pixel 5"/>
    <s v="Android"/>
    <n v="278"/>
    <x v="1"/>
    <n v="1484"/>
    <n v="55"/>
    <n v="917"/>
    <x v="5"/>
    <x v="0"/>
    <n v="3"/>
    <x v="1"/>
  </r>
  <r>
    <n v="34"/>
    <s v="Google Pixel 5"/>
    <s v="Android"/>
    <n v="46"/>
    <x v="5"/>
    <n v="457"/>
    <n v="14"/>
    <n v="105"/>
    <x v="18"/>
    <x v="0"/>
    <n v="1"/>
    <x v="0"/>
  </r>
  <r>
    <n v="35"/>
    <s v="Xiaomi Mi 11"/>
    <s v="Android"/>
    <n v="593"/>
    <x v="29"/>
    <n v="2499"/>
    <n v="81"/>
    <n v="1616"/>
    <x v="24"/>
    <x v="1"/>
    <n v="5"/>
    <x v="0"/>
  </r>
  <r>
    <n v="36"/>
    <s v="Samsung Galaxy S21"/>
    <s v="Android"/>
    <n v="32"/>
    <x v="30"/>
    <n v="580"/>
    <n v="19"/>
    <n v="153"/>
    <x v="3"/>
    <x v="1"/>
    <n v="1"/>
    <x v="1"/>
  </r>
  <r>
    <n v="37"/>
    <s v="iPhone 12"/>
    <s v="iOS"/>
    <n v="122"/>
    <x v="31"/>
    <n v="755"/>
    <n v="30"/>
    <n v="573"/>
    <x v="13"/>
    <x v="0"/>
    <n v="2"/>
    <x v="1"/>
  </r>
  <r>
    <n v="38"/>
    <s v="Samsung Galaxy S21"/>
    <s v="Android"/>
    <n v="522"/>
    <x v="32"/>
    <n v="2808"/>
    <n v="93"/>
    <n v="2328"/>
    <x v="7"/>
    <x v="0"/>
    <n v="5"/>
    <x v="1"/>
  </r>
  <r>
    <n v="39"/>
    <s v="OnePlus 9"/>
    <s v="Android"/>
    <n v="473"/>
    <x v="0"/>
    <n v="2312"/>
    <n v="74"/>
    <n v="1400"/>
    <x v="0"/>
    <x v="0"/>
    <n v="4"/>
    <x v="0"/>
  </r>
  <r>
    <n v="40"/>
    <s v="Samsung Galaxy S21"/>
    <s v="Android"/>
    <n v="398"/>
    <x v="12"/>
    <n v="1851"/>
    <n v="77"/>
    <n v="1180"/>
    <x v="16"/>
    <x v="0"/>
    <n v="4"/>
    <x v="1"/>
  </r>
  <r>
    <n v="41"/>
    <s v="Xiaomi Mi 11"/>
    <s v="Android"/>
    <n v="240"/>
    <x v="1"/>
    <n v="1464"/>
    <n v="52"/>
    <n v="708"/>
    <x v="25"/>
    <x v="1"/>
    <n v="3"/>
    <x v="0"/>
  </r>
  <r>
    <n v="42"/>
    <s v="OnePlus 9"/>
    <s v="Android"/>
    <n v="576"/>
    <x v="33"/>
    <n v="2447"/>
    <n v="83"/>
    <n v="2323"/>
    <x v="20"/>
    <x v="0"/>
    <n v="5"/>
    <x v="1"/>
  </r>
  <r>
    <n v="43"/>
    <s v="Samsung Galaxy S21"/>
    <s v="Android"/>
    <n v="120"/>
    <x v="34"/>
    <n v="720"/>
    <n v="39"/>
    <n v="392"/>
    <x v="9"/>
    <x v="0"/>
    <n v="2"/>
    <x v="0"/>
  </r>
  <r>
    <n v="44"/>
    <s v="Samsung Galaxy S21"/>
    <s v="Android"/>
    <n v="152"/>
    <x v="35"/>
    <n v="993"/>
    <n v="32"/>
    <n v="429"/>
    <x v="26"/>
    <x v="0"/>
    <n v="2"/>
    <x v="0"/>
  </r>
  <r>
    <n v="45"/>
    <s v="Xiaomi Mi 11"/>
    <s v="Android"/>
    <n v="138"/>
    <x v="36"/>
    <n v="837"/>
    <n v="21"/>
    <n v="572"/>
    <x v="25"/>
    <x v="1"/>
    <n v="2"/>
    <x v="0"/>
  </r>
  <r>
    <n v="46"/>
    <s v="Xiaomi Mi 11"/>
    <s v="Android"/>
    <n v="502"/>
    <x v="37"/>
    <n v="2476"/>
    <n v="96"/>
    <n v="1935"/>
    <x v="11"/>
    <x v="0"/>
    <n v="5"/>
    <x v="0"/>
  </r>
  <r>
    <n v="47"/>
    <s v="OnePlus 9"/>
    <s v="Android"/>
    <n v="558"/>
    <x v="38"/>
    <n v="2447"/>
    <n v="97"/>
    <n v="1594"/>
    <x v="27"/>
    <x v="1"/>
    <n v="5"/>
    <x v="1"/>
  </r>
  <r>
    <n v="48"/>
    <s v="Samsung Galaxy S21"/>
    <s v="Android"/>
    <n v="138"/>
    <x v="16"/>
    <n v="889"/>
    <n v="25"/>
    <n v="323"/>
    <x v="28"/>
    <x v="1"/>
    <n v="2"/>
    <x v="1"/>
  </r>
  <r>
    <n v="49"/>
    <s v="Google Pixel 5"/>
    <s v="Android"/>
    <n v="580"/>
    <x v="39"/>
    <n v="2623"/>
    <n v="90"/>
    <n v="2262"/>
    <x v="10"/>
    <x v="0"/>
    <n v="5"/>
    <x v="0"/>
  </r>
  <r>
    <n v="50"/>
    <s v="OnePlus 9"/>
    <s v="Android"/>
    <n v="589"/>
    <x v="40"/>
    <n v="2736"/>
    <n v="82"/>
    <n v="1997"/>
    <x v="10"/>
    <x v="0"/>
    <n v="5"/>
    <x v="0"/>
  </r>
  <r>
    <n v="51"/>
    <s v="Xiaomi Mi 11"/>
    <s v="Android"/>
    <n v="452"/>
    <x v="41"/>
    <n v="2180"/>
    <n v="61"/>
    <n v="1417"/>
    <x v="29"/>
    <x v="1"/>
    <n v="4"/>
    <x v="0"/>
  </r>
  <r>
    <n v="52"/>
    <s v="Xiaomi Mi 11"/>
    <s v="Android"/>
    <n v="245"/>
    <x v="42"/>
    <n v="1243"/>
    <n v="52"/>
    <n v="885"/>
    <x v="14"/>
    <x v="0"/>
    <n v="3"/>
    <x v="1"/>
  </r>
  <r>
    <n v="53"/>
    <s v="Samsung Galaxy S21"/>
    <s v="Android"/>
    <n v="125"/>
    <x v="43"/>
    <n v="690"/>
    <n v="28"/>
    <n v="393"/>
    <x v="28"/>
    <x v="1"/>
    <n v="2"/>
    <x v="1"/>
  </r>
  <r>
    <n v="54"/>
    <s v="Xiaomi Mi 11"/>
    <s v="Android"/>
    <n v="97"/>
    <x v="44"/>
    <n v="1101"/>
    <n v="38"/>
    <n v="375"/>
    <x v="30"/>
    <x v="0"/>
    <n v="2"/>
    <x v="0"/>
  </r>
  <r>
    <n v="55"/>
    <s v="Google Pixel 5"/>
    <s v="Android"/>
    <n v="516"/>
    <x v="40"/>
    <n v="2857"/>
    <n v="83"/>
    <n v="2189"/>
    <x v="30"/>
    <x v="1"/>
    <n v="5"/>
    <x v="0"/>
  </r>
  <r>
    <n v="56"/>
    <s v="iPhone 12"/>
    <s v="iOS"/>
    <n v="68"/>
    <x v="45"/>
    <n v="450"/>
    <n v="14"/>
    <n v="111"/>
    <x v="31"/>
    <x v="0"/>
    <n v="1"/>
    <x v="1"/>
  </r>
  <r>
    <n v="57"/>
    <s v="OnePlus 9"/>
    <s v="Android"/>
    <n v="64"/>
    <x v="46"/>
    <n v="572"/>
    <n v="10"/>
    <n v="161"/>
    <x v="2"/>
    <x v="1"/>
    <n v="1"/>
    <x v="0"/>
  </r>
  <r>
    <n v="58"/>
    <s v="OnePlus 9"/>
    <s v="Android"/>
    <n v="539"/>
    <x v="38"/>
    <n v="2796"/>
    <n v="89"/>
    <n v="2415"/>
    <x v="13"/>
    <x v="0"/>
    <n v="5"/>
    <x v="1"/>
  </r>
  <r>
    <n v="59"/>
    <s v="Xiaomi Mi 11"/>
    <s v="Android"/>
    <n v="428"/>
    <x v="47"/>
    <n v="2306"/>
    <n v="75"/>
    <n v="1144"/>
    <x v="27"/>
    <x v="0"/>
    <n v="4"/>
    <x v="1"/>
  </r>
  <r>
    <n v="60"/>
    <s v="iPhone 12"/>
    <s v="iOS"/>
    <n v="325"/>
    <x v="48"/>
    <n v="2269"/>
    <n v="64"/>
    <n v="1053"/>
    <x v="25"/>
    <x v="0"/>
    <n v="4"/>
    <x v="0"/>
  </r>
  <r>
    <n v="61"/>
    <s v="Xiaomi Mi 11"/>
    <s v="Android"/>
    <n v="522"/>
    <x v="49"/>
    <n v="2798"/>
    <n v="85"/>
    <n v="1663"/>
    <x v="32"/>
    <x v="1"/>
    <n v="5"/>
    <x v="1"/>
  </r>
  <r>
    <n v="62"/>
    <s v="Xiaomi Mi 11"/>
    <s v="Android"/>
    <n v="309"/>
    <x v="50"/>
    <n v="2292"/>
    <n v="77"/>
    <n v="1253"/>
    <x v="8"/>
    <x v="1"/>
    <n v="4"/>
    <x v="0"/>
  </r>
  <r>
    <n v="63"/>
    <s v="Xiaomi Mi 11"/>
    <s v="Android"/>
    <n v="79"/>
    <x v="51"/>
    <n v="493"/>
    <n v="14"/>
    <n v="128"/>
    <x v="21"/>
    <x v="0"/>
    <n v="1"/>
    <x v="0"/>
  </r>
  <r>
    <n v="64"/>
    <s v="Xiaomi Mi 11"/>
    <s v="Android"/>
    <n v="545"/>
    <x v="52"/>
    <n v="2911"/>
    <n v="87"/>
    <n v="1717"/>
    <x v="5"/>
    <x v="1"/>
    <n v="5"/>
    <x v="1"/>
  </r>
  <r>
    <n v="65"/>
    <s v="Samsung Galaxy S21"/>
    <s v="Android"/>
    <n v="459"/>
    <x v="47"/>
    <n v="1982"/>
    <n v="67"/>
    <n v="1091"/>
    <x v="9"/>
    <x v="0"/>
    <n v="4"/>
    <x v="0"/>
  </r>
  <r>
    <n v="66"/>
    <s v="iPhone 12"/>
    <s v="iOS"/>
    <n v="225"/>
    <x v="2"/>
    <n v="1420"/>
    <n v="48"/>
    <n v="917"/>
    <x v="25"/>
    <x v="0"/>
    <n v="3"/>
    <x v="0"/>
  </r>
  <r>
    <n v="67"/>
    <s v="iPhone 12"/>
    <s v="iOS"/>
    <n v="257"/>
    <x v="53"/>
    <n v="1705"/>
    <n v="57"/>
    <n v="912"/>
    <x v="21"/>
    <x v="0"/>
    <n v="3"/>
    <x v="0"/>
  </r>
  <r>
    <n v="68"/>
    <s v="Xiaomi Mi 11"/>
    <s v="Android"/>
    <n v="134"/>
    <x v="2"/>
    <n v="773"/>
    <n v="35"/>
    <n v="449"/>
    <x v="32"/>
    <x v="1"/>
    <n v="2"/>
    <x v="1"/>
  </r>
  <r>
    <n v="69"/>
    <s v="iPhone 12"/>
    <s v="iOS"/>
    <n v="516"/>
    <x v="29"/>
    <n v="2932"/>
    <n v="98"/>
    <n v="1547"/>
    <x v="4"/>
    <x v="0"/>
    <n v="5"/>
    <x v="1"/>
  </r>
  <r>
    <n v="70"/>
    <s v="Google Pixel 5"/>
    <s v="Android"/>
    <n v="82"/>
    <x v="54"/>
    <n v="558"/>
    <n v="16"/>
    <n v="284"/>
    <x v="14"/>
    <x v="1"/>
    <n v="1"/>
    <x v="1"/>
  </r>
  <r>
    <n v="71"/>
    <s v="Samsung Galaxy S21"/>
    <s v="Android"/>
    <n v="452"/>
    <x v="55"/>
    <n v="1808"/>
    <n v="64"/>
    <n v="1090"/>
    <x v="15"/>
    <x v="1"/>
    <n v="4"/>
    <x v="0"/>
  </r>
  <r>
    <n v="72"/>
    <s v="iPhone 12"/>
    <s v="iOS"/>
    <n v="521"/>
    <x v="56"/>
    <n v="2902"/>
    <n v="97"/>
    <n v="1701"/>
    <x v="17"/>
    <x v="0"/>
    <n v="5"/>
    <x v="0"/>
  </r>
  <r>
    <n v="73"/>
    <s v="Google Pixel 5"/>
    <s v="Android"/>
    <n v="457"/>
    <x v="57"/>
    <n v="2347"/>
    <n v="66"/>
    <n v="1082"/>
    <x v="27"/>
    <x v="0"/>
    <n v="4"/>
    <x v="1"/>
  </r>
  <r>
    <n v="74"/>
    <s v="Xiaomi Mi 11"/>
    <s v="Android"/>
    <n v="31"/>
    <x v="46"/>
    <n v="585"/>
    <n v="11"/>
    <n v="208"/>
    <x v="33"/>
    <x v="1"/>
    <n v="1"/>
    <x v="0"/>
  </r>
  <r>
    <n v="75"/>
    <s v="iPhone 12"/>
    <s v="iOS"/>
    <n v="47"/>
    <x v="5"/>
    <n v="476"/>
    <n v="14"/>
    <n v="125"/>
    <x v="11"/>
    <x v="0"/>
    <n v="1"/>
    <x v="0"/>
  </r>
  <r>
    <n v="76"/>
    <s v="Xiaomi Mi 11"/>
    <s v="Android"/>
    <n v="229"/>
    <x v="58"/>
    <n v="1305"/>
    <n v="43"/>
    <n v="985"/>
    <x v="16"/>
    <x v="1"/>
    <n v="3"/>
    <x v="1"/>
  </r>
  <r>
    <n v="77"/>
    <s v="Xiaomi Mi 11"/>
    <s v="Android"/>
    <n v="34"/>
    <x v="5"/>
    <n v="558"/>
    <n v="14"/>
    <n v="122"/>
    <x v="29"/>
    <x v="1"/>
    <n v="1"/>
    <x v="0"/>
  </r>
  <r>
    <n v="78"/>
    <s v="Google Pixel 5"/>
    <s v="Android"/>
    <n v="173"/>
    <x v="59"/>
    <n v="678"/>
    <n v="29"/>
    <n v="301"/>
    <x v="31"/>
    <x v="1"/>
    <n v="2"/>
    <x v="1"/>
  </r>
  <r>
    <n v="79"/>
    <s v="Samsung Galaxy S21"/>
    <s v="Android"/>
    <n v="78"/>
    <x v="60"/>
    <n v="333"/>
    <n v="17"/>
    <n v="138"/>
    <x v="34"/>
    <x v="1"/>
    <n v="1"/>
    <x v="0"/>
  </r>
  <r>
    <n v="80"/>
    <s v="Google Pixel 5"/>
    <s v="Android"/>
    <n v="230"/>
    <x v="58"/>
    <n v="1254"/>
    <n v="52"/>
    <n v="989"/>
    <x v="6"/>
    <x v="1"/>
    <n v="3"/>
    <x v="1"/>
  </r>
  <r>
    <n v="81"/>
    <s v="OnePlus 9"/>
    <s v="Android"/>
    <n v="565"/>
    <x v="61"/>
    <n v="2475"/>
    <n v="99"/>
    <n v="1603"/>
    <x v="34"/>
    <x v="1"/>
    <n v="5"/>
    <x v="0"/>
  </r>
  <r>
    <n v="82"/>
    <s v="iPhone 12"/>
    <s v="iOS"/>
    <n v="172"/>
    <x v="62"/>
    <n v="1035"/>
    <n v="22"/>
    <n v="549"/>
    <x v="35"/>
    <x v="0"/>
    <n v="2"/>
    <x v="0"/>
  </r>
  <r>
    <n v="83"/>
    <s v="Xiaomi Mi 11"/>
    <s v="Android"/>
    <n v="330"/>
    <x v="55"/>
    <n v="2363"/>
    <n v="77"/>
    <n v="1133"/>
    <x v="5"/>
    <x v="1"/>
    <n v="4"/>
    <x v="1"/>
  </r>
  <r>
    <n v="84"/>
    <s v="Xiaomi Mi 11"/>
    <s v="Android"/>
    <n v="39"/>
    <x v="60"/>
    <n v="368"/>
    <n v="11"/>
    <n v="105"/>
    <x v="22"/>
    <x v="0"/>
    <n v="1"/>
    <x v="1"/>
  </r>
  <r>
    <n v="85"/>
    <s v="Google Pixel 5"/>
    <s v="Android"/>
    <n v="223"/>
    <x v="53"/>
    <n v="1311"/>
    <n v="56"/>
    <n v="695"/>
    <x v="20"/>
    <x v="1"/>
    <n v="3"/>
    <x v="1"/>
  </r>
  <r>
    <n v="86"/>
    <s v="Google Pixel 5"/>
    <s v="Android"/>
    <n v="404"/>
    <x v="41"/>
    <n v="2081"/>
    <n v="63"/>
    <n v="1352"/>
    <x v="12"/>
    <x v="0"/>
    <n v="4"/>
    <x v="0"/>
  </r>
  <r>
    <n v="87"/>
    <s v="Samsung Galaxy S21"/>
    <s v="Android"/>
    <n v="151"/>
    <x v="36"/>
    <n v="1003"/>
    <n v="25"/>
    <n v="392"/>
    <x v="11"/>
    <x v="0"/>
    <n v="2"/>
    <x v="0"/>
  </r>
  <r>
    <n v="88"/>
    <s v="Samsung Galaxy S21"/>
    <s v="Android"/>
    <n v="34"/>
    <x v="63"/>
    <n v="345"/>
    <n v="11"/>
    <n v="276"/>
    <x v="12"/>
    <x v="0"/>
    <n v="1"/>
    <x v="0"/>
  </r>
  <r>
    <n v="89"/>
    <s v="Xiaomi Mi 11"/>
    <s v="Android"/>
    <n v="137"/>
    <x v="31"/>
    <n v="839"/>
    <n v="31"/>
    <n v="348"/>
    <x v="6"/>
    <x v="1"/>
    <n v="2"/>
    <x v="1"/>
  </r>
  <r>
    <n v="90"/>
    <s v="Samsung Galaxy S21"/>
    <s v="Android"/>
    <n v="301"/>
    <x v="12"/>
    <n v="2053"/>
    <n v="75"/>
    <n v="1303"/>
    <x v="15"/>
    <x v="0"/>
    <n v="4"/>
    <x v="0"/>
  </r>
  <r>
    <n v="91"/>
    <s v="Google Pixel 5"/>
    <s v="Android"/>
    <n v="116"/>
    <x v="34"/>
    <n v="912"/>
    <n v="39"/>
    <n v="307"/>
    <x v="0"/>
    <x v="1"/>
    <n v="2"/>
    <x v="0"/>
  </r>
  <r>
    <n v="92"/>
    <s v="Google Pixel 5"/>
    <s v="Android"/>
    <n v="291"/>
    <x v="64"/>
    <n v="1474"/>
    <n v="46"/>
    <n v="827"/>
    <x v="36"/>
    <x v="1"/>
    <n v="3"/>
    <x v="1"/>
  </r>
  <r>
    <n v="93"/>
    <s v="iPhone 12"/>
    <s v="iOS"/>
    <n v="84"/>
    <x v="10"/>
    <n v="501"/>
    <n v="16"/>
    <n v="284"/>
    <x v="25"/>
    <x v="1"/>
    <n v="1"/>
    <x v="0"/>
  </r>
  <r>
    <n v="94"/>
    <s v="iPhone 12"/>
    <s v="iOS"/>
    <n v="134"/>
    <x v="59"/>
    <n v="1125"/>
    <n v="24"/>
    <n v="367"/>
    <x v="37"/>
    <x v="0"/>
    <n v="2"/>
    <x v="0"/>
  </r>
  <r>
    <n v="95"/>
    <s v="Samsung Galaxy S21"/>
    <s v="Android"/>
    <n v="411"/>
    <x v="50"/>
    <n v="2169"/>
    <n v="72"/>
    <n v="1083"/>
    <x v="18"/>
    <x v="0"/>
    <n v="4"/>
    <x v="0"/>
  </r>
  <r>
    <n v="96"/>
    <s v="Xiaomi Mi 11"/>
    <s v="Android"/>
    <n v="326"/>
    <x v="55"/>
    <n v="2243"/>
    <n v="73"/>
    <n v="1454"/>
    <x v="33"/>
    <x v="0"/>
    <n v="4"/>
    <x v="0"/>
  </r>
  <r>
    <n v="97"/>
    <s v="iPhone 12"/>
    <s v="iOS"/>
    <n v="550"/>
    <x v="65"/>
    <n v="2916"/>
    <n v="91"/>
    <n v="1946"/>
    <x v="3"/>
    <x v="0"/>
    <n v="5"/>
    <x v="1"/>
  </r>
  <r>
    <n v="98"/>
    <s v="OnePlus 9"/>
    <s v="Android"/>
    <n v="516"/>
    <x v="66"/>
    <n v="2406"/>
    <n v="82"/>
    <n v="1968"/>
    <x v="32"/>
    <x v="1"/>
    <n v="5"/>
    <x v="1"/>
  </r>
  <r>
    <n v="99"/>
    <s v="Google Pixel 5"/>
    <s v="Android"/>
    <n v="59"/>
    <x v="30"/>
    <n v="361"/>
    <n v="18"/>
    <n v="293"/>
    <x v="23"/>
    <x v="1"/>
    <n v="1"/>
    <x v="1"/>
  </r>
  <r>
    <n v="100"/>
    <s v="OnePlus 9"/>
    <s v="Android"/>
    <n v="225"/>
    <x v="11"/>
    <n v="1526"/>
    <n v="44"/>
    <n v="875"/>
    <x v="33"/>
    <x v="1"/>
    <n v="3"/>
    <x v="0"/>
  </r>
  <r>
    <n v="101"/>
    <s v="Google Pixel 5"/>
    <s v="Android"/>
    <n v="41"/>
    <x v="46"/>
    <n v="389"/>
    <n v="15"/>
    <n v="136"/>
    <x v="30"/>
    <x v="0"/>
    <n v="1"/>
    <x v="0"/>
  </r>
  <r>
    <n v="102"/>
    <s v="OnePlus 9"/>
    <s v="Android"/>
    <n v="183"/>
    <x v="64"/>
    <n v="1210"/>
    <n v="45"/>
    <n v="738"/>
    <x v="22"/>
    <x v="0"/>
    <n v="3"/>
    <x v="1"/>
  </r>
  <r>
    <n v="103"/>
    <s v="Google Pixel 5"/>
    <s v="Android"/>
    <n v="174"/>
    <x v="59"/>
    <n v="929"/>
    <n v="37"/>
    <n v="565"/>
    <x v="36"/>
    <x v="1"/>
    <n v="2"/>
    <x v="1"/>
  </r>
  <r>
    <n v="104"/>
    <s v="Xiaomi Mi 11"/>
    <s v="Android"/>
    <n v="274"/>
    <x v="67"/>
    <n v="1781"/>
    <n v="52"/>
    <n v="934"/>
    <x v="32"/>
    <x v="0"/>
    <n v="3"/>
    <x v="1"/>
  </r>
  <r>
    <n v="105"/>
    <s v="Xiaomi Mi 11"/>
    <s v="Android"/>
    <n v="166"/>
    <x v="62"/>
    <n v="1113"/>
    <n v="28"/>
    <n v="360"/>
    <x v="23"/>
    <x v="0"/>
    <n v="2"/>
    <x v="1"/>
  </r>
  <r>
    <n v="106"/>
    <s v="Xiaomi Mi 11"/>
    <s v="Android"/>
    <n v="66"/>
    <x v="30"/>
    <n v="585"/>
    <n v="12"/>
    <n v="264"/>
    <x v="38"/>
    <x v="0"/>
    <n v="1"/>
    <x v="0"/>
  </r>
  <r>
    <n v="107"/>
    <s v="Google Pixel 5"/>
    <s v="Android"/>
    <n v="152"/>
    <x v="43"/>
    <n v="642"/>
    <n v="38"/>
    <n v="596"/>
    <x v="21"/>
    <x v="0"/>
    <n v="2"/>
    <x v="0"/>
  </r>
  <r>
    <n v="108"/>
    <s v="Google Pixel 5"/>
    <s v="Android"/>
    <n v="54"/>
    <x v="10"/>
    <n v="403"/>
    <n v="17"/>
    <n v="278"/>
    <x v="16"/>
    <x v="1"/>
    <n v="1"/>
    <x v="1"/>
  </r>
  <r>
    <n v="109"/>
    <s v="Xiaomi Mi 11"/>
    <s v="Android"/>
    <n v="187"/>
    <x v="11"/>
    <n v="1754"/>
    <n v="55"/>
    <n v="711"/>
    <x v="33"/>
    <x v="1"/>
    <n v="3"/>
    <x v="0"/>
  </r>
  <r>
    <n v="110"/>
    <s v="OnePlus 9"/>
    <s v="Android"/>
    <n v="216"/>
    <x v="27"/>
    <n v="1641"/>
    <n v="41"/>
    <n v="889"/>
    <x v="11"/>
    <x v="1"/>
    <n v="3"/>
    <x v="0"/>
  </r>
  <r>
    <n v="111"/>
    <s v="OnePlus 9"/>
    <s v="Android"/>
    <n v="95"/>
    <x v="68"/>
    <n v="718"/>
    <n v="26"/>
    <n v="459"/>
    <x v="35"/>
    <x v="1"/>
    <n v="2"/>
    <x v="0"/>
  </r>
  <r>
    <n v="112"/>
    <s v="Xiaomi Mi 11"/>
    <s v="Android"/>
    <n v="488"/>
    <x v="69"/>
    <n v="2447"/>
    <n v="84"/>
    <n v="2344"/>
    <x v="22"/>
    <x v="0"/>
    <n v="5"/>
    <x v="1"/>
  </r>
  <r>
    <n v="113"/>
    <s v="Google Pixel 5"/>
    <s v="Android"/>
    <n v="295"/>
    <x v="70"/>
    <n v="1483"/>
    <n v="45"/>
    <n v="748"/>
    <x v="28"/>
    <x v="1"/>
    <n v="3"/>
    <x v="1"/>
  </r>
  <r>
    <n v="114"/>
    <s v="Samsung Galaxy S21"/>
    <s v="Android"/>
    <n v="136"/>
    <x v="71"/>
    <n v="818"/>
    <n v="33"/>
    <n v="404"/>
    <x v="2"/>
    <x v="0"/>
    <n v="2"/>
    <x v="0"/>
  </r>
  <r>
    <n v="115"/>
    <s v="Xiaomi Mi 11"/>
    <s v="Android"/>
    <n v="471"/>
    <x v="72"/>
    <n v="2156"/>
    <n v="76"/>
    <n v="1324"/>
    <x v="29"/>
    <x v="1"/>
    <n v="4"/>
    <x v="0"/>
  </r>
  <r>
    <n v="116"/>
    <s v="iPhone 12"/>
    <s v="iOS"/>
    <n v="121"/>
    <x v="71"/>
    <n v="651"/>
    <n v="34"/>
    <n v="596"/>
    <x v="11"/>
    <x v="0"/>
    <n v="2"/>
    <x v="0"/>
  </r>
  <r>
    <n v="117"/>
    <s v="iPhone 12"/>
    <s v="iOS"/>
    <n v="75"/>
    <x v="30"/>
    <n v="409"/>
    <n v="13"/>
    <n v="281"/>
    <x v="26"/>
    <x v="0"/>
    <n v="1"/>
    <x v="0"/>
  </r>
  <r>
    <n v="118"/>
    <s v="iPhone 12"/>
    <s v="iOS"/>
    <n v="220"/>
    <x v="73"/>
    <n v="1631"/>
    <n v="49"/>
    <n v="909"/>
    <x v="28"/>
    <x v="1"/>
    <n v="3"/>
    <x v="1"/>
  </r>
  <r>
    <n v="119"/>
    <s v="Samsung Galaxy S21"/>
    <s v="Android"/>
    <n v="82"/>
    <x v="45"/>
    <n v="590"/>
    <n v="13"/>
    <n v="124"/>
    <x v="32"/>
    <x v="1"/>
    <n v="1"/>
    <x v="1"/>
  </r>
  <r>
    <n v="120"/>
    <s v="Google Pixel 5"/>
    <s v="Android"/>
    <n v="97"/>
    <x v="43"/>
    <n v="1018"/>
    <n v="37"/>
    <n v="428"/>
    <x v="35"/>
    <x v="0"/>
    <n v="2"/>
    <x v="0"/>
  </r>
  <r>
    <n v="121"/>
    <s v="Samsung Galaxy S21"/>
    <s v="Android"/>
    <n v="388"/>
    <x v="9"/>
    <n v="2085"/>
    <n v="71"/>
    <n v="1150"/>
    <x v="15"/>
    <x v="1"/>
    <n v="4"/>
    <x v="0"/>
  </r>
  <r>
    <n v="122"/>
    <s v="OnePlus 9"/>
    <s v="Android"/>
    <n v="529"/>
    <x v="40"/>
    <n v="2484"/>
    <n v="89"/>
    <n v="2189"/>
    <x v="11"/>
    <x v="1"/>
    <n v="5"/>
    <x v="0"/>
  </r>
  <r>
    <n v="123"/>
    <s v="Google Pixel 5"/>
    <s v="Android"/>
    <n v="584"/>
    <x v="74"/>
    <n v="2541"/>
    <n v="99"/>
    <n v="2391"/>
    <x v="10"/>
    <x v="1"/>
    <n v="5"/>
    <x v="0"/>
  </r>
  <r>
    <n v="124"/>
    <s v="Google Pixel 5"/>
    <s v="Android"/>
    <n v="529"/>
    <x v="75"/>
    <n v="2686"/>
    <n v="96"/>
    <n v="1924"/>
    <x v="37"/>
    <x v="0"/>
    <n v="5"/>
    <x v="0"/>
  </r>
  <r>
    <n v="125"/>
    <s v="Google Pixel 5"/>
    <s v="Android"/>
    <n v="227"/>
    <x v="70"/>
    <n v="1702"/>
    <n v="57"/>
    <n v="714"/>
    <x v="5"/>
    <x v="0"/>
    <n v="3"/>
    <x v="1"/>
  </r>
  <r>
    <n v="126"/>
    <s v="Samsung Galaxy S21"/>
    <s v="Android"/>
    <n v="535"/>
    <x v="76"/>
    <n v="2858"/>
    <n v="99"/>
    <n v="2378"/>
    <x v="33"/>
    <x v="0"/>
    <n v="5"/>
    <x v="0"/>
  </r>
  <r>
    <n v="127"/>
    <s v="iPhone 12"/>
    <s v="iOS"/>
    <n v="332"/>
    <x v="41"/>
    <n v="2149"/>
    <n v="68"/>
    <n v="1321"/>
    <x v="3"/>
    <x v="1"/>
    <n v="4"/>
    <x v="1"/>
  </r>
  <r>
    <n v="128"/>
    <s v="Google Pixel 5"/>
    <s v="Android"/>
    <n v="252"/>
    <x v="67"/>
    <n v="1439"/>
    <n v="45"/>
    <n v="667"/>
    <x v="33"/>
    <x v="1"/>
    <n v="3"/>
    <x v="0"/>
  </r>
  <r>
    <n v="129"/>
    <s v="Xiaomi Mi 11"/>
    <s v="Android"/>
    <n v="125"/>
    <x v="59"/>
    <n v="678"/>
    <n v="34"/>
    <n v="465"/>
    <x v="4"/>
    <x v="0"/>
    <n v="2"/>
    <x v="1"/>
  </r>
  <r>
    <n v="130"/>
    <s v="Xiaomi Mi 11"/>
    <s v="Android"/>
    <n v="97"/>
    <x v="31"/>
    <n v="751"/>
    <n v="39"/>
    <n v="412"/>
    <x v="38"/>
    <x v="1"/>
    <n v="2"/>
    <x v="0"/>
  </r>
  <r>
    <n v="131"/>
    <s v="Google Pixel 5"/>
    <s v="Android"/>
    <n v="540"/>
    <x v="77"/>
    <n v="2923"/>
    <n v="90"/>
    <n v="1886"/>
    <x v="0"/>
    <x v="0"/>
    <n v="5"/>
    <x v="0"/>
  </r>
  <r>
    <n v="132"/>
    <s v="Xiaomi Mi 11"/>
    <s v="Android"/>
    <n v="320"/>
    <x v="55"/>
    <n v="2056"/>
    <n v="69"/>
    <n v="1226"/>
    <x v="19"/>
    <x v="1"/>
    <n v="4"/>
    <x v="0"/>
  </r>
  <r>
    <n v="133"/>
    <s v="Google Pixel 5"/>
    <s v="Android"/>
    <n v="176"/>
    <x v="16"/>
    <n v="1193"/>
    <n v="30"/>
    <n v="458"/>
    <x v="0"/>
    <x v="1"/>
    <n v="2"/>
    <x v="0"/>
  </r>
  <r>
    <n v="134"/>
    <s v="Samsung Galaxy S21"/>
    <s v="Android"/>
    <n v="79"/>
    <x v="78"/>
    <n v="313"/>
    <n v="18"/>
    <n v="139"/>
    <x v="2"/>
    <x v="0"/>
    <n v="1"/>
    <x v="0"/>
  </r>
  <r>
    <n v="135"/>
    <s v="Xiaomi Mi 11"/>
    <s v="Android"/>
    <n v="83"/>
    <x v="45"/>
    <n v="303"/>
    <n v="19"/>
    <n v="285"/>
    <x v="34"/>
    <x v="0"/>
    <n v="1"/>
    <x v="0"/>
  </r>
  <r>
    <n v="136"/>
    <s v="iPhone 12"/>
    <s v="iOS"/>
    <n v="555"/>
    <x v="79"/>
    <n v="2528"/>
    <n v="90"/>
    <n v="1856"/>
    <x v="21"/>
    <x v="1"/>
    <n v="5"/>
    <x v="0"/>
  </r>
  <r>
    <n v="137"/>
    <s v="Samsung Galaxy S21"/>
    <s v="Android"/>
    <n v="66"/>
    <x v="54"/>
    <n v="375"/>
    <n v="16"/>
    <n v="216"/>
    <x v="11"/>
    <x v="0"/>
    <n v="1"/>
    <x v="0"/>
  </r>
  <r>
    <n v="138"/>
    <s v="Xiaomi Mi 11"/>
    <s v="Android"/>
    <n v="237"/>
    <x v="53"/>
    <n v="1368"/>
    <n v="42"/>
    <n v="868"/>
    <x v="7"/>
    <x v="1"/>
    <n v="3"/>
    <x v="1"/>
  </r>
  <r>
    <n v="139"/>
    <s v="Samsung Galaxy S21"/>
    <s v="Android"/>
    <n v="497"/>
    <x v="80"/>
    <n v="2876"/>
    <n v="94"/>
    <n v="2076"/>
    <x v="26"/>
    <x v="0"/>
    <n v="5"/>
    <x v="0"/>
  </r>
  <r>
    <n v="140"/>
    <s v="Google Pixel 5"/>
    <s v="Android"/>
    <n v="516"/>
    <x v="81"/>
    <n v="2429"/>
    <n v="91"/>
    <n v="1796"/>
    <x v="30"/>
    <x v="0"/>
    <n v="5"/>
    <x v="0"/>
  </r>
  <r>
    <n v="141"/>
    <s v="Xiaomi Mi 11"/>
    <s v="Android"/>
    <n v="219"/>
    <x v="73"/>
    <n v="1510"/>
    <n v="42"/>
    <n v="655"/>
    <x v="33"/>
    <x v="1"/>
    <n v="3"/>
    <x v="0"/>
  </r>
  <r>
    <n v="142"/>
    <s v="Google Pixel 5"/>
    <s v="Android"/>
    <n v="448"/>
    <x v="57"/>
    <n v="2044"/>
    <n v="71"/>
    <n v="1337"/>
    <x v="34"/>
    <x v="0"/>
    <n v="4"/>
    <x v="0"/>
  </r>
  <r>
    <n v="143"/>
    <s v="iPhone 12"/>
    <s v="iOS"/>
    <n v="156"/>
    <x v="44"/>
    <n v="896"/>
    <n v="37"/>
    <n v="429"/>
    <x v="8"/>
    <x v="1"/>
    <n v="2"/>
    <x v="0"/>
  </r>
  <r>
    <n v="144"/>
    <s v="Samsung Galaxy S21"/>
    <s v="Android"/>
    <n v="68"/>
    <x v="46"/>
    <n v="528"/>
    <n v="12"/>
    <n v="201"/>
    <x v="14"/>
    <x v="0"/>
    <n v="1"/>
    <x v="1"/>
  </r>
  <r>
    <n v="145"/>
    <s v="iPhone 12"/>
    <s v="iOS"/>
    <n v="524"/>
    <x v="32"/>
    <n v="2417"/>
    <n v="90"/>
    <n v="2069"/>
    <x v="14"/>
    <x v="1"/>
    <n v="5"/>
    <x v="1"/>
  </r>
  <r>
    <n v="146"/>
    <s v="iPhone 12"/>
    <s v="iOS"/>
    <n v="188"/>
    <x v="82"/>
    <n v="1281"/>
    <n v="45"/>
    <n v="974"/>
    <x v="37"/>
    <x v="0"/>
    <n v="3"/>
    <x v="0"/>
  </r>
  <r>
    <n v="147"/>
    <s v="Samsung Galaxy S21"/>
    <s v="Android"/>
    <n v="443"/>
    <x v="41"/>
    <n v="2289"/>
    <n v="73"/>
    <n v="1026"/>
    <x v="20"/>
    <x v="0"/>
    <n v="4"/>
    <x v="1"/>
  </r>
  <r>
    <n v="148"/>
    <s v="Xiaomi Mi 11"/>
    <s v="Android"/>
    <n v="52"/>
    <x v="45"/>
    <n v="385"/>
    <n v="19"/>
    <n v="234"/>
    <x v="7"/>
    <x v="0"/>
    <n v="1"/>
    <x v="1"/>
  </r>
  <r>
    <n v="149"/>
    <s v="OnePlus 9"/>
    <s v="Android"/>
    <n v="228"/>
    <x v="67"/>
    <n v="1677"/>
    <n v="58"/>
    <n v="823"/>
    <x v="25"/>
    <x v="0"/>
    <n v="3"/>
    <x v="0"/>
  </r>
  <r>
    <n v="150"/>
    <s v="Google Pixel 5"/>
    <s v="Android"/>
    <n v="149"/>
    <x v="35"/>
    <n v="873"/>
    <n v="34"/>
    <n v="459"/>
    <x v="34"/>
    <x v="0"/>
    <n v="2"/>
    <x v="0"/>
  </r>
  <r>
    <n v="151"/>
    <s v="iPhone 12"/>
    <s v="iOS"/>
    <n v="523"/>
    <x v="83"/>
    <n v="2583"/>
    <n v="92"/>
    <n v="1539"/>
    <x v="5"/>
    <x v="0"/>
    <n v="5"/>
    <x v="1"/>
  </r>
  <r>
    <n v="152"/>
    <s v="Samsung Galaxy S21"/>
    <s v="Android"/>
    <n v="42"/>
    <x v="45"/>
    <n v="315"/>
    <n v="19"/>
    <n v="207"/>
    <x v="19"/>
    <x v="1"/>
    <n v="1"/>
    <x v="0"/>
  </r>
  <r>
    <n v="153"/>
    <s v="Google Pixel 5"/>
    <s v="Android"/>
    <n v="120"/>
    <x v="5"/>
    <n v="741"/>
    <n v="38"/>
    <n v="396"/>
    <x v="25"/>
    <x v="1"/>
    <n v="2"/>
    <x v="0"/>
  </r>
  <r>
    <n v="154"/>
    <s v="OnePlus 9"/>
    <s v="Android"/>
    <n v="329"/>
    <x v="50"/>
    <n v="2277"/>
    <n v="72"/>
    <n v="1185"/>
    <x v="28"/>
    <x v="1"/>
    <n v="4"/>
    <x v="1"/>
  </r>
  <r>
    <n v="155"/>
    <s v="Xiaomi Mi 11"/>
    <s v="Android"/>
    <n v="68"/>
    <x v="63"/>
    <n v="364"/>
    <n v="10"/>
    <n v="102"/>
    <x v="4"/>
    <x v="1"/>
    <n v="1"/>
    <x v="1"/>
  </r>
  <r>
    <n v="156"/>
    <s v="Xiaomi Mi 11"/>
    <s v="Android"/>
    <n v="158"/>
    <x v="23"/>
    <n v="893"/>
    <n v="36"/>
    <n v="493"/>
    <x v="36"/>
    <x v="0"/>
    <n v="2"/>
    <x v="1"/>
  </r>
  <r>
    <n v="157"/>
    <s v="Xiaomi Mi 11"/>
    <s v="Android"/>
    <n v="86"/>
    <x v="54"/>
    <n v="439"/>
    <n v="19"/>
    <n v="136"/>
    <x v="29"/>
    <x v="0"/>
    <n v="1"/>
    <x v="0"/>
  </r>
  <r>
    <n v="158"/>
    <s v="Xiaomi Mi 11"/>
    <s v="Android"/>
    <n v="339"/>
    <x v="84"/>
    <n v="2102"/>
    <n v="71"/>
    <n v="1062"/>
    <x v="34"/>
    <x v="0"/>
    <n v="4"/>
    <x v="0"/>
  </r>
  <r>
    <n v="159"/>
    <s v="Samsung Galaxy S21"/>
    <s v="Android"/>
    <n v="304"/>
    <x v="21"/>
    <n v="2375"/>
    <n v="79"/>
    <n v="1493"/>
    <x v="34"/>
    <x v="0"/>
    <n v="4"/>
    <x v="0"/>
  </r>
  <r>
    <n v="160"/>
    <s v="Xiaomi Mi 11"/>
    <s v="Android"/>
    <n v="131"/>
    <x v="36"/>
    <n v="859"/>
    <n v="26"/>
    <n v="305"/>
    <x v="0"/>
    <x v="0"/>
    <n v="2"/>
    <x v="0"/>
  </r>
  <r>
    <n v="161"/>
    <s v="Samsung Galaxy S21"/>
    <s v="Android"/>
    <n v="64"/>
    <x v="45"/>
    <n v="540"/>
    <n v="19"/>
    <n v="262"/>
    <x v="37"/>
    <x v="1"/>
    <n v="1"/>
    <x v="0"/>
  </r>
  <r>
    <n v="162"/>
    <s v="Xiaomi Mi 11"/>
    <s v="Android"/>
    <n v="53"/>
    <x v="51"/>
    <n v="526"/>
    <n v="15"/>
    <n v="112"/>
    <x v="2"/>
    <x v="0"/>
    <n v="1"/>
    <x v="0"/>
  </r>
  <r>
    <n v="163"/>
    <s v="Google Pixel 5"/>
    <s v="Android"/>
    <n v="442"/>
    <x v="8"/>
    <n v="2067"/>
    <n v="69"/>
    <n v="1440"/>
    <x v="15"/>
    <x v="0"/>
    <n v="4"/>
    <x v="0"/>
  </r>
  <r>
    <n v="164"/>
    <s v="iPhone 12"/>
    <s v="iOS"/>
    <n v="32"/>
    <x v="5"/>
    <n v="469"/>
    <n v="18"/>
    <n v="139"/>
    <x v="27"/>
    <x v="0"/>
    <n v="1"/>
    <x v="1"/>
  </r>
  <r>
    <n v="165"/>
    <s v="Xiaomi Mi 11"/>
    <s v="Android"/>
    <n v="278"/>
    <x v="3"/>
    <n v="1238"/>
    <n v="48"/>
    <n v="851"/>
    <x v="9"/>
    <x v="1"/>
    <n v="3"/>
    <x v="0"/>
  </r>
  <r>
    <n v="166"/>
    <s v="Xiaomi Mi 11"/>
    <s v="Android"/>
    <n v="540"/>
    <x v="38"/>
    <n v="2993"/>
    <n v="98"/>
    <n v="1540"/>
    <x v="10"/>
    <x v="1"/>
    <n v="5"/>
    <x v="0"/>
  </r>
  <r>
    <n v="167"/>
    <s v="Google Pixel 5"/>
    <s v="Android"/>
    <n v="595"/>
    <x v="79"/>
    <n v="2968"/>
    <n v="88"/>
    <n v="2366"/>
    <x v="31"/>
    <x v="0"/>
    <n v="5"/>
    <x v="1"/>
  </r>
  <r>
    <n v="168"/>
    <s v="Google Pixel 5"/>
    <s v="Android"/>
    <n v="35"/>
    <x v="63"/>
    <n v="467"/>
    <n v="10"/>
    <n v="158"/>
    <x v="18"/>
    <x v="0"/>
    <n v="1"/>
    <x v="0"/>
  </r>
  <r>
    <n v="169"/>
    <s v="Google Pixel 5"/>
    <s v="Android"/>
    <n v="225"/>
    <x v="14"/>
    <n v="1370"/>
    <n v="44"/>
    <n v="791"/>
    <x v="21"/>
    <x v="1"/>
    <n v="3"/>
    <x v="0"/>
  </r>
  <r>
    <n v="170"/>
    <s v="Google Pixel 5"/>
    <s v="Android"/>
    <n v="587"/>
    <x v="76"/>
    <n v="2431"/>
    <n v="90"/>
    <n v="1894"/>
    <x v="1"/>
    <x v="0"/>
    <n v="5"/>
    <x v="0"/>
  </r>
  <r>
    <n v="171"/>
    <s v="Xiaomi Mi 11"/>
    <s v="Android"/>
    <n v="92"/>
    <x v="35"/>
    <n v="1124"/>
    <n v="27"/>
    <n v="524"/>
    <x v="12"/>
    <x v="0"/>
    <n v="2"/>
    <x v="0"/>
  </r>
  <r>
    <n v="172"/>
    <s v="Google Pixel 5"/>
    <s v="Android"/>
    <n v="46"/>
    <x v="46"/>
    <n v="487"/>
    <n v="17"/>
    <n v="208"/>
    <x v="16"/>
    <x v="0"/>
    <n v="1"/>
    <x v="1"/>
  </r>
  <r>
    <n v="173"/>
    <s v="OnePlus 9"/>
    <s v="Android"/>
    <n v="153"/>
    <x v="62"/>
    <n v="935"/>
    <n v="25"/>
    <n v="578"/>
    <x v="17"/>
    <x v="1"/>
    <n v="2"/>
    <x v="0"/>
  </r>
  <r>
    <n v="174"/>
    <s v="iPhone 12"/>
    <s v="iOS"/>
    <n v="368"/>
    <x v="9"/>
    <n v="1817"/>
    <n v="72"/>
    <n v="1406"/>
    <x v="28"/>
    <x v="1"/>
    <n v="4"/>
    <x v="1"/>
  </r>
  <r>
    <n v="175"/>
    <s v="Xiaomi Mi 11"/>
    <s v="Android"/>
    <n v="51"/>
    <x v="45"/>
    <n v="509"/>
    <n v="11"/>
    <n v="113"/>
    <x v="14"/>
    <x v="1"/>
    <n v="1"/>
    <x v="1"/>
  </r>
  <r>
    <n v="176"/>
    <s v="Google Pixel 5"/>
    <s v="Android"/>
    <n v="279"/>
    <x v="73"/>
    <n v="1660"/>
    <n v="47"/>
    <n v="629"/>
    <x v="33"/>
    <x v="1"/>
    <n v="3"/>
    <x v="0"/>
  </r>
  <r>
    <n v="177"/>
    <s v="Xiaomi Mi 11"/>
    <s v="Android"/>
    <n v="255"/>
    <x v="14"/>
    <n v="1738"/>
    <n v="42"/>
    <n v="826"/>
    <x v="5"/>
    <x v="0"/>
    <n v="3"/>
    <x v="1"/>
  </r>
  <r>
    <n v="178"/>
    <s v="Samsung Galaxy S21"/>
    <s v="Android"/>
    <n v="193"/>
    <x v="58"/>
    <n v="1471"/>
    <n v="51"/>
    <n v="972"/>
    <x v="4"/>
    <x v="1"/>
    <n v="3"/>
    <x v="1"/>
  </r>
  <r>
    <n v="179"/>
    <s v="Xiaomi Mi 11"/>
    <s v="Android"/>
    <n v="207"/>
    <x v="58"/>
    <n v="1582"/>
    <n v="52"/>
    <n v="692"/>
    <x v="24"/>
    <x v="0"/>
    <n v="3"/>
    <x v="0"/>
  </r>
  <r>
    <n v="180"/>
    <s v="iPhone 12"/>
    <s v="iOS"/>
    <n v="539"/>
    <x v="49"/>
    <n v="2853"/>
    <n v="83"/>
    <n v="2007"/>
    <x v="21"/>
    <x v="0"/>
    <n v="5"/>
    <x v="0"/>
  </r>
  <r>
    <n v="181"/>
    <s v="OnePlus 9"/>
    <s v="Android"/>
    <n v="151"/>
    <x v="36"/>
    <n v="1124"/>
    <n v="38"/>
    <n v="571"/>
    <x v="20"/>
    <x v="0"/>
    <n v="2"/>
    <x v="1"/>
  </r>
  <r>
    <n v="182"/>
    <s v="Google Pixel 5"/>
    <s v="Android"/>
    <n v="474"/>
    <x v="0"/>
    <n v="2109"/>
    <n v="68"/>
    <n v="1079"/>
    <x v="7"/>
    <x v="0"/>
    <n v="4"/>
    <x v="1"/>
  </r>
  <r>
    <n v="183"/>
    <s v="iPhone 12"/>
    <s v="iOS"/>
    <n v="544"/>
    <x v="85"/>
    <n v="2936"/>
    <n v="83"/>
    <n v="2416"/>
    <x v="1"/>
    <x v="1"/>
    <n v="5"/>
    <x v="0"/>
  </r>
  <r>
    <n v="184"/>
    <s v="iPhone 12"/>
    <s v="iOS"/>
    <n v="73"/>
    <x v="30"/>
    <n v="308"/>
    <n v="15"/>
    <n v="275"/>
    <x v="11"/>
    <x v="1"/>
    <n v="1"/>
    <x v="0"/>
  </r>
  <r>
    <n v="185"/>
    <s v="Xiaomi Mi 11"/>
    <s v="Android"/>
    <n v="597"/>
    <x v="15"/>
    <n v="2984"/>
    <n v="91"/>
    <n v="1564"/>
    <x v="6"/>
    <x v="1"/>
    <n v="5"/>
    <x v="1"/>
  </r>
  <r>
    <n v="186"/>
    <s v="Google Pixel 5"/>
    <s v="Android"/>
    <n v="498"/>
    <x v="86"/>
    <n v="2738"/>
    <n v="94"/>
    <n v="1995"/>
    <x v="2"/>
    <x v="0"/>
    <n v="5"/>
    <x v="0"/>
  </r>
  <r>
    <n v="187"/>
    <s v="iPhone 12"/>
    <s v="iOS"/>
    <n v="402"/>
    <x v="84"/>
    <n v="2014"/>
    <n v="79"/>
    <n v="1088"/>
    <x v="6"/>
    <x v="1"/>
    <n v="4"/>
    <x v="1"/>
  </r>
  <r>
    <n v="188"/>
    <s v="OnePlus 9"/>
    <s v="Android"/>
    <n v="75"/>
    <x v="46"/>
    <n v="379"/>
    <n v="15"/>
    <n v="185"/>
    <x v="17"/>
    <x v="0"/>
    <n v="1"/>
    <x v="0"/>
  </r>
  <r>
    <n v="189"/>
    <s v="iPhone 12"/>
    <s v="iOS"/>
    <n v="130"/>
    <x v="5"/>
    <n v="602"/>
    <n v="21"/>
    <n v="589"/>
    <x v="31"/>
    <x v="1"/>
    <n v="2"/>
    <x v="1"/>
  </r>
  <r>
    <n v="190"/>
    <s v="Samsung Galaxy S21"/>
    <s v="Android"/>
    <n v="42"/>
    <x v="46"/>
    <n v="402"/>
    <n v="11"/>
    <n v="265"/>
    <x v="36"/>
    <x v="1"/>
    <n v="1"/>
    <x v="1"/>
  </r>
  <r>
    <n v="191"/>
    <s v="iPhone 12"/>
    <s v="iOS"/>
    <n v="134"/>
    <x v="44"/>
    <n v="917"/>
    <n v="23"/>
    <n v="423"/>
    <x v="16"/>
    <x v="0"/>
    <n v="2"/>
    <x v="1"/>
  </r>
  <r>
    <n v="192"/>
    <s v="Google Pixel 5"/>
    <s v="Android"/>
    <n v="79"/>
    <x v="51"/>
    <n v="477"/>
    <n v="13"/>
    <n v="161"/>
    <x v="7"/>
    <x v="0"/>
    <n v="1"/>
    <x v="1"/>
  </r>
  <r>
    <n v="193"/>
    <s v="iPhone 12"/>
    <s v="iOS"/>
    <n v="432"/>
    <x v="55"/>
    <n v="1822"/>
    <n v="63"/>
    <n v="1127"/>
    <x v="39"/>
    <x v="1"/>
    <n v="4"/>
    <x v="0"/>
  </r>
  <r>
    <n v="194"/>
    <s v="iPhone 12"/>
    <s v="iOS"/>
    <n v="262"/>
    <x v="64"/>
    <n v="1287"/>
    <n v="52"/>
    <n v="997"/>
    <x v="38"/>
    <x v="0"/>
    <n v="3"/>
    <x v="0"/>
  </r>
  <r>
    <n v="195"/>
    <s v="Samsung Galaxy S21"/>
    <s v="Android"/>
    <n v="473"/>
    <x v="0"/>
    <n v="2109"/>
    <n v="79"/>
    <n v="1300"/>
    <x v="16"/>
    <x v="1"/>
    <n v="4"/>
    <x v="1"/>
  </r>
  <r>
    <n v="196"/>
    <s v="Google Pixel 5"/>
    <s v="Android"/>
    <n v="202"/>
    <x v="1"/>
    <n v="1512"/>
    <n v="49"/>
    <n v="659"/>
    <x v="15"/>
    <x v="1"/>
    <n v="3"/>
    <x v="0"/>
  </r>
  <r>
    <n v="197"/>
    <s v="OnePlus 9"/>
    <s v="Android"/>
    <n v="215"/>
    <x v="87"/>
    <n v="1407"/>
    <n v="41"/>
    <n v="991"/>
    <x v="1"/>
    <x v="0"/>
    <n v="3"/>
    <x v="0"/>
  </r>
  <r>
    <n v="198"/>
    <s v="OnePlus 9"/>
    <s v="Android"/>
    <n v="151"/>
    <x v="35"/>
    <n v="1116"/>
    <n v="32"/>
    <n v="320"/>
    <x v="35"/>
    <x v="1"/>
    <n v="2"/>
    <x v="0"/>
  </r>
  <r>
    <n v="199"/>
    <s v="OnePlus 9"/>
    <s v="Android"/>
    <n v="80"/>
    <x v="45"/>
    <n v="549"/>
    <n v="14"/>
    <n v="197"/>
    <x v="22"/>
    <x v="0"/>
    <n v="1"/>
    <x v="1"/>
  </r>
  <r>
    <n v="200"/>
    <s v="Xiaomi Mi 11"/>
    <s v="Android"/>
    <n v="126"/>
    <x v="62"/>
    <n v="971"/>
    <n v="32"/>
    <n v="431"/>
    <x v="37"/>
    <x v="1"/>
    <n v="2"/>
    <x v="0"/>
  </r>
  <r>
    <n v="201"/>
    <s v="Samsung Galaxy S21"/>
    <s v="Android"/>
    <n v="495"/>
    <x v="88"/>
    <n v="2920"/>
    <n v="84"/>
    <n v="2252"/>
    <x v="4"/>
    <x v="1"/>
    <n v="5"/>
    <x v="1"/>
  </r>
  <r>
    <n v="202"/>
    <s v="iPhone 12"/>
    <s v="iOS"/>
    <n v="127"/>
    <x v="35"/>
    <n v="1153"/>
    <n v="35"/>
    <n v="314"/>
    <x v="17"/>
    <x v="1"/>
    <n v="2"/>
    <x v="0"/>
  </r>
  <r>
    <n v="203"/>
    <s v="Xiaomi Mi 11"/>
    <s v="Android"/>
    <n v="88"/>
    <x v="89"/>
    <n v="327"/>
    <n v="11"/>
    <n v="262"/>
    <x v="27"/>
    <x v="0"/>
    <n v="1"/>
    <x v="1"/>
  </r>
  <r>
    <n v="204"/>
    <s v="Google Pixel 5"/>
    <s v="Android"/>
    <n v="69"/>
    <x v="45"/>
    <n v="463"/>
    <n v="16"/>
    <n v="146"/>
    <x v="28"/>
    <x v="0"/>
    <n v="1"/>
    <x v="1"/>
  </r>
  <r>
    <n v="205"/>
    <s v="OnePlus 9"/>
    <s v="Android"/>
    <n v="100"/>
    <x v="31"/>
    <n v="961"/>
    <n v="21"/>
    <n v="433"/>
    <x v="23"/>
    <x v="0"/>
    <n v="2"/>
    <x v="1"/>
  </r>
  <r>
    <n v="206"/>
    <s v="Xiaomi Mi 11"/>
    <s v="Android"/>
    <n v="301"/>
    <x v="21"/>
    <n v="2084"/>
    <n v="71"/>
    <n v="1421"/>
    <x v="14"/>
    <x v="0"/>
    <n v="4"/>
    <x v="1"/>
  </r>
  <r>
    <n v="207"/>
    <s v="Google Pixel 5"/>
    <s v="Android"/>
    <n v="78"/>
    <x v="54"/>
    <n v="455"/>
    <n v="15"/>
    <n v="207"/>
    <x v="17"/>
    <x v="1"/>
    <n v="1"/>
    <x v="0"/>
  </r>
  <r>
    <n v="208"/>
    <s v="Google Pixel 5"/>
    <s v="Android"/>
    <n v="163"/>
    <x v="90"/>
    <n v="620"/>
    <n v="21"/>
    <n v="419"/>
    <x v="16"/>
    <x v="0"/>
    <n v="2"/>
    <x v="1"/>
  </r>
  <r>
    <n v="209"/>
    <s v="OnePlus 9"/>
    <s v="Android"/>
    <n v="539"/>
    <x v="91"/>
    <n v="2606"/>
    <n v="92"/>
    <n v="1990"/>
    <x v="35"/>
    <x v="0"/>
    <n v="5"/>
    <x v="0"/>
  </r>
  <r>
    <n v="210"/>
    <s v="Google Pixel 5"/>
    <s v="Android"/>
    <n v="278"/>
    <x v="28"/>
    <n v="1385"/>
    <n v="47"/>
    <n v="823"/>
    <x v="0"/>
    <x v="1"/>
    <n v="3"/>
    <x v="0"/>
  </r>
  <r>
    <n v="211"/>
    <s v="Samsung Galaxy S21"/>
    <s v="Android"/>
    <n v="451"/>
    <x v="92"/>
    <n v="2108"/>
    <n v="76"/>
    <n v="1434"/>
    <x v="23"/>
    <x v="1"/>
    <n v="4"/>
    <x v="1"/>
  </r>
  <r>
    <n v="212"/>
    <s v="Samsung Galaxy S21"/>
    <s v="Android"/>
    <n v="481"/>
    <x v="37"/>
    <n v="2752"/>
    <n v="86"/>
    <n v="2017"/>
    <x v="26"/>
    <x v="0"/>
    <n v="5"/>
    <x v="0"/>
  </r>
  <r>
    <n v="213"/>
    <s v="Samsung Galaxy S21"/>
    <s v="Android"/>
    <n v="133"/>
    <x v="23"/>
    <n v="714"/>
    <n v="38"/>
    <n v="445"/>
    <x v="23"/>
    <x v="0"/>
    <n v="2"/>
    <x v="1"/>
  </r>
  <r>
    <n v="214"/>
    <s v="Xiaomi Mi 11"/>
    <s v="Android"/>
    <n v="41"/>
    <x v="46"/>
    <n v="588"/>
    <n v="10"/>
    <n v="246"/>
    <x v="27"/>
    <x v="0"/>
    <n v="1"/>
    <x v="1"/>
  </r>
  <r>
    <n v="215"/>
    <s v="iPhone 12"/>
    <s v="iOS"/>
    <n v="152"/>
    <x v="31"/>
    <n v="1175"/>
    <n v="29"/>
    <n v="461"/>
    <x v="2"/>
    <x v="1"/>
    <n v="2"/>
    <x v="0"/>
  </r>
  <r>
    <n v="216"/>
    <s v="OnePlus 9"/>
    <s v="Android"/>
    <n v="553"/>
    <x v="38"/>
    <n v="2559"/>
    <n v="89"/>
    <n v="2471"/>
    <x v="34"/>
    <x v="0"/>
    <n v="5"/>
    <x v="0"/>
  </r>
  <r>
    <n v="217"/>
    <s v="iPhone 12"/>
    <s v="iOS"/>
    <n v="402"/>
    <x v="93"/>
    <n v="2282"/>
    <n v="78"/>
    <n v="1397"/>
    <x v="0"/>
    <x v="0"/>
    <n v="4"/>
    <x v="0"/>
  </r>
  <r>
    <n v="218"/>
    <s v="OnePlus 9"/>
    <s v="Android"/>
    <n v="555"/>
    <x v="65"/>
    <n v="2855"/>
    <n v="95"/>
    <n v="1565"/>
    <x v="7"/>
    <x v="0"/>
    <n v="5"/>
    <x v="1"/>
  </r>
  <r>
    <n v="219"/>
    <s v="iPhone 12"/>
    <s v="iOS"/>
    <n v="499"/>
    <x v="94"/>
    <n v="2873"/>
    <n v="81"/>
    <n v="1805"/>
    <x v="19"/>
    <x v="1"/>
    <n v="5"/>
    <x v="0"/>
  </r>
  <r>
    <n v="220"/>
    <s v="Xiaomi Mi 11"/>
    <s v="Android"/>
    <n v="101"/>
    <x v="71"/>
    <n v="603"/>
    <n v="28"/>
    <n v="417"/>
    <x v="9"/>
    <x v="0"/>
    <n v="2"/>
    <x v="0"/>
  </r>
  <r>
    <n v="221"/>
    <s v="OnePlus 9"/>
    <s v="Android"/>
    <n v="433"/>
    <x v="26"/>
    <n v="2093"/>
    <n v="75"/>
    <n v="1300"/>
    <x v="36"/>
    <x v="0"/>
    <n v="4"/>
    <x v="1"/>
  </r>
  <r>
    <n v="222"/>
    <s v="OnePlus 9"/>
    <s v="Android"/>
    <n v="133"/>
    <x v="5"/>
    <n v="1007"/>
    <n v="31"/>
    <n v="417"/>
    <x v="36"/>
    <x v="0"/>
    <n v="2"/>
    <x v="1"/>
  </r>
  <r>
    <n v="223"/>
    <s v="Xiaomi Mi 11"/>
    <s v="Android"/>
    <n v="351"/>
    <x v="92"/>
    <n v="1941"/>
    <n v="79"/>
    <n v="1290"/>
    <x v="5"/>
    <x v="1"/>
    <n v="4"/>
    <x v="1"/>
  </r>
  <r>
    <n v="224"/>
    <s v="Samsung Galaxy S21"/>
    <s v="Android"/>
    <n v="532"/>
    <x v="86"/>
    <n v="2556"/>
    <n v="83"/>
    <n v="2148"/>
    <x v="30"/>
    <x v="1"/>
    <n v="5"/>
    <x v="0"/>
  </r>
  <r>
    <n v="225"/>
    <s v="OnePlus 9"/>
    <s v="Android"/>
    <n v="92"/>
    <x v="59"/>
    <n v="690"/>
    <n v="31"/>
    <n v="563"/>
    <x v="28"/>
    <x v="0"/>
    <n v="2"/>
    <x v="1"/>
  </r>
  <r>
    <n v="226"/>
    <s v="Xiaomi Mi 11"/>
    <s v="Android"/>
    <n v="511"/>
    <x v="77"/>
    <n v="2712"/>
    <n v="97"/>
    <n v="2438"/>
    <x v="39"/>
    <x v="1"/>
    <n v="5"/>
    <x v="0"/>
  </r>
  <r>
    <n v="227"/>
    <s v="Xiaomi Mi 11"/>
    <s v="Android"/>
    <n v="384"/>
    <x v="47"/>
    <n v="2185"/>
    <n v="72"/>
    <n v="1376"/>
    <x v="39"/>
    <x v="0"/>
    <n v="4"/>
    <x v="0"/>
  </r>
  <r>
    <n v="228"/>
    <s v="iPhone 12"/>
    <s v="iOS"/>
    <n v="193"/>
    <x v="73"/>
    <n v="1318"/>
    <n v="49"/>
    <n v="626"/>
    <x v="36"/>
    <x v="1"/>
    <n v="3"/>
    <x v="1"/>
  </r>
  <r>
    <n v="229"/>
    <s v="Samsung Galaxy S21"/>
    <s v="Android"/>
    <n v="132"/>
    <x v="68"/>
    <n v="649"/>
    <n v="25"/>
    <n v="368"/>
    <x v="35"/>
    <x v="0"/>
    <n v="2"/>
    <x v="0"/>
  </r>
  <r>
    <n v="230"/>
    <s v="Samsung Galaxy S21"/>
    <s v="Android"/>
    <n v="360"/>
    <x v="6"/>
    <n v="1946"/>
    <n v="79"/>
    <n v="1164"/>
    <x v="33"/>
    <x v="0"/>
    <n v="4"/>
    <x v="0"/>
  </r>
  <r>
    <n v="231"/>
    <s v="iPhone 12"/>
    <s v="iOS"/>
    <n v="159"/>
    <x v="95"/>
    <n v="1083"/>
    <n v="32"/>
    <n v="526"/>
    <x v="24"/>
    <x v="0"/>
    <n v="2"/>
    <x v="0"/>
  </r>
  <r>
    <n v="232"/>
    <s v="iPhone 12"/>
    <s v="iOS"/>
    <n v="495"/>
    <x v="88"/>
    <n v="2855"/>
    <n v="91"/>
    <n v="2150"/>
    <x v="4"/>
    <x v="0"/>
    <n v="5"/>
    <x v="1"/>
  </r>
  <r>
    <n v="233"/>
    <s v="Xiaomi Mi 11"/>
    <s v="Android"/>
    <n v="537"/>
    <x v="74"/>
    <n v="2720"/>
    <n v="83"/>
    <n v="1763"/>
    <x v="37"/>
    <x v="0"/>
    <n v="5"/>
    <x v="0"/>
  </r>
  <r>
    <n v="234"/>
    <s v="OnePlus 9"/>
    <s v="Android"/>
    <n v="129"/>
    <x v="23"/>
    <n v="1059"/>
    <n v="27"/>
    <n v="580"/>
    <x v="38"/>
    <x v="1"/>
    <n v="2"/>
    <x v="0"/>
  </r>
  <r>
    <n v="235"/>
    <s v="iPhone 12"/>
    <s v="iOS"/>
    <n v="132"/>
    <x v="68"/>
    <n v="636"/>
    <n v="28"/>
    <n v="529"/>
    <x v="30"/>
    <x v="0"/>
    <n v="2"/>
    <x v="0"/>
  </r>
  <r>
    <n v="236"/>
    <s v="Xiaomi Mi 11"/>
    <s v="Android"/>
    <n v="37"/>
    <x v="10"/>
    <n v="369"/>
    <n v="18"/>
    <n v="295"/>
    <x v="22"/>
    <x v="1"/>
    <n v="1"/>
    <x v="1"/>
  </r>
  <r>
    <n v="237"/>
    <s v="Samsung Galaxy S21"/>
    <s v="Android"/>
    <n v="524"/>
    <x v="88"/>
    <n v="2549"/>
    <n v="88"/>
    <n v="1730"/>
    <x v="3"/>
    <x v="1"/>
    <n v="5"/>
    <x v="1"/>
  </r>
  <r>
    <n v="238"/>
    <s v="OnePlus 9"/>
    <s v="Android"/>
    <n v="425"/>
    <x v="93"/>
    <n v="2142"/>
    <n v="66"/>
    <n v="1130"/>
    <x v="22"/>
    <x v="1"/>
    <n v="4"/>
    <x v="1"/>
  </r>
  <r>
    <n v="239"/>
    <s v="OnePlus 9"/>
    <s v="Android"/>
    <n v="64"/>
    <x v="54"/>
    <n v="585"/>
    <n v="13"/>
    <n v="107"/>
    <x v="30"/>
    <x v="0"/>
    <n v="1"/>
    <x v="0"/>
  </r>
  <r>
    <n v="240"/>
    <s v="iPhone 12"/>
    <s v="iOS"/>
    <n v="573"/>
    <x v="77"/>
    <n v="2711"/>
    <n v="96"/>
    <n v="2118"/>
    <x v="20"/>
    <x v="1"/>
    <n v="5"/>
    <x v="1"/>
  </r>
  <r>
    <n v="241"/>
    <s v="Google Pixel 5"/>
    <s v="Android"/>
    <n v="45"/>
    <x v="54"/>
    <n v="302"/>
    <n v="16"/>
    <n v="191"/>
    <x v="8"/>
    <x v="1"/>
    <n v="1"/>
    <x v="0"/>
  </r>
  <r>
    <n v="242"/>
    <s v="Xiaomi Mi 11"/>
    <s v="Android"/>
    <n v="564"/>
    <x v="96"/>
    <n v="2764"/>
    <n v="81"/>
    <n v="2133"/>
    <x v="17"/>
    <x v="1"/>
    <n v="5"/>
    <x v="0"/>
  </r>
  <r>
    <n v="243"/>
    <s v="OnePlus 9"/>
    <s v="Android"/>
    <n v="162"/>
    <x v="97"/>
    <n v="761"/>
    <n v="36"/>
    <n v="338"/>
    <x v="34"/>
    <x v="0"/>
    <n v="2"/>
    <x v="0"/>
  </r>
  <r>
    <n v="244"/>
    <s v="Samsung Galaxy S21"/>
    <s v="Android"/>
    <n v="451"/>
    <x v="21"/>
    <n v="2378"/>
    <n v="69"/>
    <n v="1341"/>
    <x v="12"/>
    <x v="0"/>
    <n v="4"/>
    <x v="0"/>
  </r>
  <r>
    <n v="245"/>
    <s v="OnePlus 9"/>
    <s v="Android"/>
    <n v="30"/>
    <x v="89"/>
    <n v="479"/>
    <n v="16"/>
    <n v="253"/>
    <x v="37"/>
    <x v="0"/>
    <n v="1"/>
    <x v="0"/>
  </r>
  <r>
    <n v="246"/>
    <s v="Samsung Galaxy S21"/>
    <s v="Android"/>
    <n v="202"/>
    <x v="98"/>
    <n v="1542"/>
    <n v="45"/>
    <n v="844"/>
    <x v="14"/>
    <x v="0"/>
    <n v="3"/>
    <x v="1"/>
  </r>
  <r>
    <n v="247"/>
    <s v="Google Pixel 5"/>
    <s v="Android"/>
    <n v="71"/>
    <x v="63"/>
    <n v="590"/>
    <n v="17"/>
    <n v="257"/>
    <x v="20"/>
    <x v="0"/>
    <n v="1"/>
    <x v="1"/>
  </r>
  <r>
    <n v="248"/>
    <s v="Google Pixel 5"/>
    <s v="Android"/>
    <n v="314"/>
    <x v="12"/>
    <n v="2205"/>
    <n v="63"/>
    <n v="1066"/>
    <x v="22"/>
    <x v="0"/>
    <n v="4"/>
    <x v="1"/>
  </r>
  <r>
    <n v="249"/>
    <s v="Xiaomi Mi 11"/>
    <s v="Android"/>
    <n v="168"/>
    <x v="2"/>
    <n v="866"/>
    <n v="22"/>
    <n v="581"/>
    <x v="33"/>
    <x v="1"/>
    <n v="2"/>
    <x v="0"/>
  </r>
  <r>
    <n v="250"/>
    <s v="Google Pixel 5"/>
    <s v="Android"/>
    <n v="75"/>
    <x v="51"/>
    <n v="537"/>
    <n v="13"/>
    <n v="230"/>
    <x v="18"/>
    <x v="1"/>
    <n v="1"/>
    <x v="0"/>
  </r>
  <r>
    <n v="251"/>
    <s v="OnePlus 9"/>
    <s v="Android"/>
    <n v="42"/>
    <x v="10"/>
    <n v="324"/>
    <n v="13"/>
    <n v="272"/>
    <x v="14"/>
    <x v="1"/>
    <n v="1"/>
    <x v="1"/>
  </r>
  <r>
    <n v="252"/>
    <s v="OnePlus 9"/>
    <s v="Android"/>
    <n v="441"/>
    <x v="72"/>
    <n v="2332"/>
    <n v="78"/>
    <n v="1477"/>
    <x v="16"/>
    <x v="1"/>
    <n v="4"/>
    <x v="1"/>
  </r>
  <r>
    <n v="253"/>
    <s v="Google Pixel 5"/>
    <s v="Android"/>
    <n v="523"/>
    <x v="25"/>
    <n v="2460"/>
    <n v="99"/>
    <n v="1787"/>
    <x v="27"/>
    <x v="0"/>
    <n v="5"/>
    <x v="1"/>
  </r>
  <r>
    <n v="254"/>
    <s v="Xiaomi Mi 11"/>
    <s v="Android"/>
    <n v="100"/>
    <x v="36"/>
    <n v="982"/>
    <n v="31"/>
    <n v="478"/>
    <x v="40"/>
    <x v="1"/>
    <n v="2"/>
    <x v="0"/>
  </r>
  <r>
    <n v="255"/>
    <s v="OnePlus 9"/>
    <s v="Android"/>
    <n v="52"/>
    <x v="30"/>
    <n v="398"/>
    <n v="14"/>
    <n v="172"/>
    <x v="7"/>
    <x v="1"/>
    <n v="1"/>
    <x v="1"/>
  </r>
  <r>
    <n v="256"/>
    <s v="OnePlus 9"/>
    <s v="Android"/>
    <n v="397"/>
    <x v="47"/>
    <n v="2352"/>
    <n v="77"/>
    <n v="1101"/>
    <x v="41"/>
    <x v="1"/>
    <n v="4"/>
    <x v="0"/>
  </r>
  <r>
    <n v="257"/>
    <s v="Xiaomi Mi 11"/>
    <s v="Android"/>
    <n v="424"/>
    <x v="8"/>
    <n v="1863"/>
    <n v="65"/>
    <n v="1116"/>
    <x v="19"/>
    <x v="0"/>
    <n v="4"/>
    <x v="0"/>
  </r>
  <r>
    <n v="258"/>
    <s v="Xiaomi Mi 11"/>
    <s v="Android"/>
    <n v="272"/>
    <x v="98"/>
    <n v="1655"/>
    <n v="45"/>
    <n v="686"/>
    <x v="22"/>
    <x v="1"/>
    <n v="3"/>
    <x v="1"/>
  </r>
  <r>
    <n v="259"/>
    <s v="Xiaomi Mi 11"/>
    <s v="Android"/>
    <n v="201"/>
    <x v="2"/>
    <n v="1791"/>
    <n v="50"/>
    <n v="914"/>
    <x v="26"/>
    <x v="0"/>
    <n v="3"/>
    <x v="0"/>
  </r>
  <r>
    <n v="260"/>
    <s v="Xiaomi Mi 11"/>
    <s v="Android"/>
    <n v="570"/>
    <x v="56"/>
    <n v="2613"/>
    <n v="98"/>
    <n v="2497"/>
    <x v="10"/>
    <x v="1"/>
    <n v="5"/>
    <x v="0"/>
  </r>
  <r>
    <n v="261"/>
    <s v="Xiaomi Mi 11"/>
    <s v="Android"/>
    <n v="64"/>
    <x v="89"/>
    <n v="490"/>
    <n v="14"/>
    <n v="151"/>
    <x v="9"/>
    <x v="1"/>
    <n v="1"/>
    <x v="0"/>
  </r>
  <r>
    <n v="262"/>
    <s v="iPhone 12"/>
    <s v="iOS"/>
    <n v="334"/>
    <x v="9"/>
    <n v="2394"/>
    <n v="68"/>
    <n v="1227"/>
    <x v="41"/>
    <x v="1"/>
    <n v="4"/>
    <x v="0"/>
  </r>
  <r>
    <n v="263"/>
    <s v="iPhone 12"/>
    <s v="iOS"/>
    <n v="518"/>
    <x v="94"/>
    <n v="2954"/>
    <n v="93"/>
    <n v="2125"/>
    <x v="6"/>
    <x v="1"/>
    <n v="5"/>
    <x v="1"/>
  </r>
  <r>
    <n v="264"/>
    <s v="Samsung Galaxy S21"/>
    <s v="Android"/>
    <n v="70"/>
    <x v="54"/>
    <n v="359"/>
    <n v="10"/>
    <n v="109"/>
    <x v="8"/>
    <x v="0"/>
    <n v="1"/>
    <x v="0"/>
  </r>
  <r>
    <n v="265"/>
    <s v="iPhone 12"/>
    <s v="iOS"/>
    <n v="334"/>
    <x v="26"/>
    <n v="2000"/>
    <n v="77"/>
    <n v="1079"/>
    <x v="0"/>
    <x v="1"/>
    <n v="4"/>
    <x v="0"/>
  </r>
  <r>
    <n v="266"/>
    <s v="Xiaomi Mi 11"/>
    <s v="Android"/>
    <n v="563"/>
    <x v="38"/>
    <n v="2849"/>
    <n v="85"/>
    <n v="1508"/>
    <x v="23"/>
    <x v="0"/>
    <n v="5"/>
    <x v="1"/>
  </r>
  <r>
    <n v="267"/>
    <s v="iPhone 12"/>
    <s v="iOS"/>
    <n v="181"/>
    <x v="64"/>
    <n v="1608"/>
    <n v="43"/>
    <n v="752"/>
    <x v="27"/>
    <x v="1"/>
    <n v="3"/>
    <x v="1"/>
  </r>
  <r>
    <n v="268"/>
    <s v="OnePlus 9"/>
    <s v="Android"/>
    <n v="584"/>
    <x v="83"/>
    <n v="2766"/>
    <n v="84"/>
    <n v="2151"/>
    <x v="36"/>
    <x v="0"/>
    <n v="5"/>
    <x v="1"/>
  </r>
  <r>
    <n v="269"/>
    <s v="Samsung Galaxy S21"/>
    <s v="Android"/>
    <n v="208"/>
    <x v="1"/>
    <n v="1642"/>
    <n v="45"/>
    <n v="861"/>
    <x v="21"/>
    <x v="0"/>
    <n v="3"/>
    <x v="0"/>
  </r>
  <r>
    <n v="270"/>
    <s v="Samsung Galaxy S21"/>
    <s v="Android"/>
    <n v="381"/>
    <x v="9"/>
    <n v="2160"/>
    <n v="69"/>
    <n v="1450"/>
    <x v="3"/>
    <x v="0"/>
    <n v="4"/>
    <x v="1"/>
  </r>
  <r>
    <n v="271"/>
    <s v="Xiaomi Mi 11"/>
    <s v="Android"/>
    <n v="426"/>
    <x v="21"/>
    <n v="1969"/>
    <n v="78"/>
    <n v="1266"/>
    <x v="30"/>
    <x v="1"/>
    <n v="4"/>
    <x v="0"/>
  </r>
  <r>
    <n v="272"/>
    <s v="OnePlus 9"/>
    <s v="Android"/>
    <n v="284"/>
    <x v="67"/>
    <n v="1360"/>
    <n v="56"/>
    <n v="888"/>
    <x v="34"/>
    <x v="0"/>
    <n v="3"/>
    <x v="0"/>
  </r>
  <r>
    <n v="273"/>
    <s v="Google Pixel 5"/>
    <s v="Android"/>
    <n v="105"/>
    <x v="44"/>
    <n v="1002"/>
    <n v="29"/>
    <n v="453"/>
    <x v="4"/>
    <x v="1"/>
    <n v="2"/>
    <x v="1"/>
  </r>
  <r>
    <n v="274"/>
    <s v="Google Pixel 5"/>
    <s v="Android"/>
    <n v="179"/>
    <x v="95"/>
    <n v="1014"/>
    <n v="32"/>
    <n v="588"/>
    <x v="24"/>
    <x v="0"/>
    <n v="2"/>
    <x v="0"/>
  </r>
  <r>
    <n v="275"/>
    <s v="iPhone 12"/>
    <s v="iOS"/>
    <n v="122"/>
    <x v="19"/>
    <n v="639"/>
    <n v="37"/>
    <n v="568"/>
    <x v="37"/>
    <x v="0"/>
    <n v="2"/>
    <x v="0"/>
  </r>
  <r>
    <n v="276"/>
    <s v="OnePlus 9"/>
    <s v="Android"/>
    <n v="501"/>
    <x v="49"/>
    <n v="2702"/>
    <n v="88"/>
    <n v="1738"/>
    <x v="10"/>
    <x v="0"/>
    <n v="5"/>
    <x v="0"/>
  </r>
  <r>
    <n v="277"/>
    <s v="Xiaomi Mi 11"/>
    <s v="Android"/>
    <n v="269"/>
    <x v="42"/>
    <n v="1666"/>
    <n v="42"/>
    <n v="629"/>
    <x v="36"/>
    <x v="1"/>
    <n v="3"/>
    <x v="1"/>
  </r>
  <r>
    <n v="278"/>
    <s v="Google Pixel 5"/>
    <s v="Android"/>
    <n v="230"/>
    <x v="87"/>
    <n v="1607"/>
    <n v="52"/>
    <n v="878"/>
    <x v="29"/>
    <x v="0"/>
    <n v="3"/>
    <x v="0"/>
  </r>
  <r>
    <n v="279"/>
    <s v="Xiaomi Mi 11"/>
    <s v="Android"/>
    <n v="85"/>
    <x v="45"/>
    <n v="417"/>
    <n v="12"/>
    <n v="122"/>
    <x v="1"/>
    <x v="0"/>
    <n v="1"/>
    <x v="0"/>
  </r>
  <r>
    <n v="280"/>
    <s v="Samsung Galaxy S21"/>
    <s v="Android"/>
    <n v="411"/>
    <x v="84"/>
    <n v="2029"/>
    <n v="75"/>
    <n v="1136"/>
    <x v="20"/>
    <x v="1"/>
    <n v="4"/>
    <x v="1"/>
  </r>
  <r>
    <n v="281"/>
    <s v="Samsung Galaxy S21"/>
    <s v="Android"/>
    <n v="73"/>
    <x v="54"/>
    <n v="403"/>
    <n v="12"/>
    <n v="163"/>
    <x v="34"/>
    <x v="0"/>
    <n v="1"/>
    <x v="0"/>
  </r>
  <r>
    <n v="282"/>
    <s v="Xiaomi Mi 11"/>
    <s v="Android"/>
    <n v="39"/>
    <x v="54"/>
    <n v="530"/>
    <n v="11"/>
    <n v="268"/>
    <x v="13"/>
    <x v="1"/>
    <n v="1"/>
    <x v="1"/>
  </r>
  <r>
    <n v="283"/>
    <s v="iPhone 12"/>
    <s v="iOS"/>
    <n v="386"/>
    <x v="8"/>
    <n v="2114"/>
    <n v="72"/>
    <n v="1209"/>
    <x v="34"/>
    <x v="0"/>
    <n v="4"/>
    <x v="0"/>
  </r>
  <r>
    <n v="284"/>
    <s v="Google Pixel 5"/>
    <s v="Android"/>
    <n v="49"/>
    <x v="89"/>
    <n v="542"/>
    <n v="16"/>
    <n v="169"/>
    <x v="29"/>
    <x v="1"/>
    <n v="1"/>
    <x v="0"/>
  </r>
  <r>
    <n v="285"/>
    <s v="Google Pixel 5"/>
    <s v="Android"/>
    <n v="411"/>
    <x v="93"/>
    <n v="1820"/>
    <n v="70"/>
    <n v="1024"/>
    <x v="9"/>
    <x v="0"/>
    <n v="4"/>
    <x v="0"/>
  </r>
  <r>
    <n v="286"/>
    <s v="OnePlus 9"/>
    <s v="Android"/>
    <n v="534"/>
    <x v="77"/>
    <n v="2805"/>
    <n v="90"/>
    <n v="1538"/>
    <x v="17"/>
    <x v="0"/>
    <n v="5"/>
    <x v="0"/>
  </r>
  <r>
    <n v="287"/>
    <s v="Samsung Galaxy S21"/>
    <s v="Android"/>
    <n v="314"/>
    <x v="41"/>
    <n v="2136"/>
    <n v="64"/>
    <n v="1376"/>
    <x v="1"/>
    <x v="1"/>
    <n v="4"/>
    <x v="0"/>
  </r>
  <r>
    <n v="288"/>
    <s v="Xiaomi Mi 11"/>
    <s v="Android"/>
    <n v="211"/>
    <x v="2"/>
    <n v="1519"/>
    <n v="54"/>
    <n v="811"/>
    <x v="14"/>
    <x v="1"/>
    <n v="3"/>
    <x v="1"/>
  </r>
  <r>
    <n v="289"/>
    <s v="OnePlus 9"/>
    <s v="Android"/>
    <n v="121"/>
    <x v="35"/>
    <n v="619"/>
    <n v="36"/>
    <n v="473"/>
    <x v="1"/>
    <x v="0"/>
    <n v="2"/>
    <x v="0"/>
  </r>
  <r>
    <n v="290"/>
    <s v="Google Pixel 5"/>
    <s v="Android"/>
    <n v="84"/>
    <x v="30"/>
    <n v="415"/>
    <n v="10"/>
    <n v="146"/>
    <x v="33"/>
    <x v="0"/>
    <n v="1"/>
    <x v="0"/>
  </r>
  <r>
    <n v="291"/>
    <s v="OnePlus 9"/>
    <s v="Android"/>
    <n v="448"/>
    <x v="24"/>
    <n v="2199"/>
    <n v="66"/>
    <n v="1047"/>
    <x v="32"/>
    <x v="0"/>
    <n v="4"/>
    <x v="1"/>
  </r>
  <r>
    <n v="292"/>
    <s v="Google Pixel 5"/>
    <s v="Android"/>
    <n v="55"/>
    <x v="45"/>
    <n v="360"/>
    <n v="19"/>
    <n v="149"/>
    <x v="31"/>
    <x v="0"/>
    <n v="1"/>
    <x v="1"/>
  </r>
  <r>
    <n v="293"/>
    <s v="Google Pixel 5"/>
    <s v="Android"/>
    <n v="59"/>
    <x v="60"/>
    <n v="497"/>
    <n v="10"/>
    <n v="208"/>
    <x v="38"/>
    <x v="1"/>
    <n v="1"/>
    <x v="0"/>
  </r>
  <r>
    <n v="294"/>
    <s v="Xiaomi Mi 11"/>
    <s v="Android"/>
    <n v="226"/>
    <x v="53"/>
    <n v="1781"/>
    <n v="45"/>
    <n v="649"/>
    <x v="28"/>
    <x v="1"/>
    <n v="3"/>
    <x v="1"/>
  </r>
  <r>
    <n v="295"/>
    <s v="Samsung Galaxy S21"/>
    <s v="Android"/>
    <n v="580"/>
    <x v="18"/>
    <n v="2660"/>
    <n v="87"/>
    <n v="1795"/>
    <x v="19"/>
    <x v="0"/>
    <n v="5"/>
    <x v="0"/>
  </r>
  <r>
    <n v="296"/>
    <s v="OnePlus 9"/>
    <s v="Android"/>
    <n v="65"/>
    <x v="60"/>
    <n v="481"/>
    <n v="18"/>
    <n v="130"/>
    <x v="35"/>
    <x v="0"/>
    <n v="1"/>
    <x v="0"/>
  </r>
  <r>
    <n v="297"/>
    <s v="OnePlus 9"/>
    <s v="Android"/>
    <n v="458"/>
    <x v="9"/>
    <n v="2214"/>
    <n v="67"/>
    <n v="1163"/>
    <x v="4"/>
    <x v="1"/>
    <n v="4"/>
    <x v="1"/>
  </r>
  <r>
    <n v="298"/>
    <s v="iPhone 12"/>
    <s v="iOS"/>
    <n v="170"/>
    <x v="43"/>
    <n v="805"/>
    <n v="26"/>
    <n v="344"/>
    <x v="30"/>
    <x v="1"/>
    <n v="2"/>
    <x v="0"/>
  </r>
  <r>
    <n v="299"/>
    <s v="iPhone 12"/>
    <s v="iOS"/>
    <n v="264"/>
    <x v="73"/>
    <n v="1641"/>
    <n v="44"/>
    <n v="778"/>
    <x v="12"/>
    <x v="0"/>
    <n v="3"/>
    <x v="0"/>
  </r>
  <r>
    <n v="300"/>
    <s v="Xiaomi Mi 11"/>
    <s v="Android"/>
    <n v="122"/>
    <x v="31"/>
    <n v="748"/>
    <n v="35"/>
    <n v="499"/>
    <x v="39"/>
    <x v="1"/>
    <n v="2"/>
    <x v="0"/>
  </r>
  <r>
    <n v="301"/>
    <s v="Xiaomi Mi 11"/>
    <s v="Android"/>
    <n v="420"/>
    <x v="21"/>
    <n v="2113"/>
    <n v="65"/>
    <n v="1314"/>
    <x v="37"/>
    <x v="0"/>
    <n v="4"/>
    <x v="0"/>
  </r>
  <r>
    <n v="302"/>
    <s v="iPhone 12"/>
    <s v="iOS"/>
    <n v="267"/>
    <x v="87"/>
    <n v="1505"/>
    <n v="59"/>
    <n v="971"/>
    <x v="24"/>
    <x v="1"/>
    <n v="3"/>
    <x v="0"/>
  </r>
  <r>
    <n v="303"/>
    <s v="iPhone 12"/>
    <s v="iOS"/>
    <n v="469"/>
    <x v="27"/>
    <n v="2290"/>
    <n v="67"/>
    <n v="1086"/>
    <x v="6"/>
    <x v="1"/>
    <n v="4"/>
    <x v="1"/>
  </r>
  <r>
    <n v="304"/>
    <s v="iPhone 12"/>
    <s v="iOS"/>
    <n v="541"/>
    <x v="7"/>
    <n v="2443"/>
    <n v="89"/>
    <n v="1923"/>
    <x v="6"/>
    <x v="1"/>
    <n v="5"/>
    <x v="1"/>
  </r>
  <r>
    <n v="305"/>
    <s v="iPhone 12"/>
    <s v="iOS"/>
    <n v="155"/>
    <x v="99"/>
    <n v="1117"/>
    <n v="22"/>
    <n v="322"/>
    <x v="22"/>
    <x v="1"/>
    <n v="2"/>
    <x v="1"/>
  </r>
  <r>
    <n v="306"/>
    <s v="OnePlus 9"/>
    <s v="Android"/>
    <n v="106"/>
    <x v="62"/>
    <n v="686"/>
    <n v="32"/>
    <n v="594"/>
    <x v="28"/>
    <x v="0"/>
    <n v="2"/>
    <x v="1"/>
  </r>
  <r>
    <n v="307"/>
    <s v="OnePlus 9"/>
    <s v="Android"/>
    <n v="243"/>
    <x v="98"/>
    <n v="1232"/>
    <n v="47"/>
    <n v="877"/>
    <x v="9"/>
    <x v="0"/>
    <n v="3"/>
    <x v="0"/>
  </r>
  <r>
    <n v="308"/>
    <s v="OnePlus 9"/>
    <s v="Android"/>
    <n v="410"/>
    <x v="50"/>
    <n v="2176"/>
    <n v="68"/>
    <n v="1213"/>
    <x v="15"/>
    <x v="1"/>
    <n v="4"/>
    <x v="0"/>
  </r>
  <r>
    <n v="309"/>
    <s v="iPhone 12"/>
    <s v="iOS"/>
    <n v="285"/>
    <x v="70"/>
    <n v="1226"/>
    <n v="57"/>
    <n v="666"/>
    <x v="3"/>
    <x v="1"/>
    <n v="3"/>
    <x v="1"/>
  </r>
  <r>
    <n v="310"/>
    <s v="OnePlus 9"/>
    <s v="Android"/>
    <n v="397"/>
    <x v="26"/>
    <n v="2027"/>
    <n v="66"/>
    <n v="1167"/>
    <x v="0"/>
    <x v="0"/>
    <n v="4"/>
    <x v="0"/>
  </r>
  <r>
    <n v="311"/>
    <s v="Samsung Galaxy S21"/>
    <s v="Android"/>
    <n v="230"/>
    <x v="67"/>
    <n v="1507"/>
    <n v="51"/>
    <n v="868"/>
    <x v="23"/>
    <x v="1"/>
    <n v="3"/>
    <x v="1"/>
  </r>
  <r>
    <n v="312"/>
    <s v="iPhone 12"/>
    <s v="iOS"/>
    <n v="341"/>
    <x v="55"/>
    <n v="2397"/>
    <n v="68"/>
    <n v="1055"/>
    <x v="36"/>
    <x v="1"/>
    <n v="4"/>
    <x v="1"/>
  </r>
  <r>
    <n v="313"/>
    <s v="Google Pixel 5"/>
    <s v="Android"/>
    <n v="132"/>
    <x v="99"/>
    <n v="1054"/>
    <n v="32"/>
    <n v="563"/>
    <x v="3"/>
    <x v="0"/>
    <n v="2"/>
    <x v="1"/>
  </r>
  <r>
    <n v="314"/>
    <s v="Xiaomi Mi 11"/>
    <s v="Android"/>
    <n v="130"/>
    <x v="100"/>
    <n v="820"/>
    <n v="21"/>
    <n v="308"/>
    <x v="10"/>
    <x v="1"/>
    <n v="2"/>
    <x v="0"/>
  </r>
  <r>
    <n v="315"/>
    <s v="iPhone 12"/>
    <s v="iOS"/>
    <n v="281"/>
    <x v="13"/>
    <n v="1566"/>
    <n v="59"/>
    <n v="632"/>
    <x v="14"/>
    <x v="0"/>
    <n v="3"/>
    <x v="1"/>
  </r>
  <r>
    <n v="316"/>
    <s v="OnePlus 9"/>
    <s v="Android"/>
    <n v="74"/>
    <x v="5"/>
    <n v="320"/>
    <n v="11"/>
    <n v="103"/>
    <x v="21"/>
    <x v="1"/>
    <n v="1"/>
    <x v="0"/>
  </r>
  <r>
    <n v="317"/>
    <s v="OnePlus 9"/>
    <s v="Android"/>
    <n v="299"/>
    <x v="4"/>
    <n v="1737"/>
    <n v="43"/>
    <n v="953"/>
    <x v="2"/>
    <x v="1"/>
    <n v="3"/>
    <x v="0"/>
  </r>
  <r>
    <n v="318"/>
    <s v="Google Pixel 5"/>
    <s v="Android"/>
    <n v="116"/>
    <x v="44"/>
    <n v="827"/>
    <n v="29"/>
    <n v="434"/>
    <x v="32"/>
    <x v="1"/>
    <n v="2"/>
    <x v="1"/>
  </r>
  <r>
    <n v="319"/>
    <s v="OnePlus 9"/>
    <s v="Android"/>
    <n v="408"/>
    <x v="9"/>
    <n v="2026"/>
    <n v="63"/>
    <n v="1076"/>
    <x v="1"/>
    <x v="1"/>
    <n v="4"/>
    <x v="0"/>
  </r>
  <r>
    <n v="320"/>
    <s v="Google Pixel 5"/>
    <s v="Android"/>
    <n v="508"/>
    <x v="79"/>
    <n v="2590"/>
    <n v="81"/>
    <n v="2481"/>
    <x v="34"/>
    <x v="0"/>
    <n v="5"/>
    <x v="0"/>
  </r>
  <r>
    <n v="321"/>
    <s v="iPhone 12"/>
    <s v="iOS"/>
    <n v="227"/>
    <x v="87"/>
    <n v="1275"/>
    <n v="56"/>
    <n v="984"/>
    <x v="27"/>
    <x v="1"/>
    <n v="3"/>
    <x v="1"/>
  </r>
  <r>
    <n v="322"/>
    <s v="Google Pixel 5"/>
    <s v="Android"/>
    <n v="274"/>
    <x v="27"/>
    <n v="1489"/>
    <n v="56"/>
    <n v="666"/>
    <x v="8"/>
    <x v="1"/>
    <n v="3"/>
    <x v="0"/>
  </r>
  <r>
    <n v="323"/>
    <s v="Google Pixel 5"/>
    <s v="Android"/>
    <n v="347"/>
    <x v="57"/>
    <n v="2001"/>
    <n v="61"/>
    <n v="1456"/>
    <x v="5"/>
    <x v="1"/>
    <n v="4"/>
    <x v="1"/>
  </r>
  <r>
    <n v="324"/>
    <s v="Xiaomi Mi 11"/>
    <s v="Android"/>
    <n v="76"/>
    <x v="89"/>
    <n v="490"/>
    <n v="14"/>
    <n v="156"/>
    <x v="4"/>
    <x v="1"/>
    <n v="1"/>
    <x v="1"/>
  </r>
  <r>
    <n v="325"/>
    <s v="iPhone 12"/>
    <s v="iOS"/>
    <n v="445"/>
    <x v="50"/>
    <n v="2007"/>
    <n v="78"/>
    <n v="1115"/>
    <x v="16"/>
    <x v="0"/>
    <n v="4"/>
    <x v="1"/>
  </r>
  <r>
    <n v="326"/>
    <s v="OnePlus 9"/>
    <s v="Android"/>
    <n v="203"/>
    <x v="4"/>
    <n v="1554"/>
    <n v="54"/>
    <n v="638"/>
    <x v="23"/>
    <x v="1"/>
    <n v="3"/>
    <x v="1"/>
  </r>
  <r>
    <n v="327"/>
    <s v="Samsung Galaxy S21"/>
    <s v="Android"/>
    <n v="199"/>
    <x v="27"/>
    <n v="1707"/>
    <n v="57"/>
    <n v="881"/>
    <x v="21"/>
    <x v="0"/>
    <n v="3"/>
    <x v="0"/>
  </r>
  <r>
    <n v="328"/>
    <s v="OnePlus 9"/>
    <s v="Android"/>
    <n v="48"/>
    <x v="5"/>
    <n v="574"/>
    <n v="18"/>
    <n v="127"/>
    <x v="7"/>
    <x v="1"/>
    <n v="1"/>
    <x v="1"/>
  </r>
  <r>
    <n v="329"/>
    <s v="OnePlus 9"/>
    <s v="Android"/>
    <n v="88"/>
    <x v="45"/>
    <n v="420"/>
    <n v="12"/>
    <n v="274"/>
    <x v="4"/>
    <x v="1"/>
    <n v="1"/>
    <x v="1"/>
  </r>
  <r>
    <n v="330"/>
    <s v="iPhone 12"/>
    <s v="iOS"/>
    <n v="541"/>
    <x v="101"/>
    <n v="2865"/>
    <n v="89"/>
    <n v="1820"/>
    <x v="2"/>
    <x v="1"/>
    <n v="5"/>
    <x v="0"/>
  </r>
  <r>
    <n v="331"/>
    <s v="Google Pixel 5"/>
    <s v="Android"/>
    <n v="233"/>
    <x v="28"/>
    <n v="1534"/>
    <n v="49"/>
    <n v="796"/>
    <x v="5"/>
    <x v="1"/>
    <n v="3"/>
    <x v="1"/>
  </r>
  <r>
    <n v="332"/>
    <s v="iPhone 12"/>
    <s v="iOS"/>
    <n v="176"/>
    <x v="68"/>
    <n v="727"/>
    <n v="36"/>
    <n v="362"/>
    <x v="1"/>
    <x v="1"/>
    <n v="2"/>
    <x v="0"/>
  </r>
  <r>
    <n v="333"/>
    <s v="OnePlus 9"/>
    <s v="Android"/>
    <n v="191"/>
    <x v="27"/>
    <n v="1762"/>
    <n v="45"/>
    <n v="904"/>
    <x v="29"/>
    <x v="0"/>
    <n v="3"/>
    <x v="0"/>
  </r>
  <r>
    <n v="334"/>
    <s v="Google Pixel 5"/>
    <s v="Android"/>
    <n v="461"/>
    <x v="50"/>
    <n v="2001"/>
    <n v="69"/>
    <n v="1324"/>
    <x v="6"/>
    <x v="1"/>
    <n v="4"/>
    <x v="1"/>
  </r>
  <r>
    <n v="335"/>
    <s v="Samsung Galaxy S21"/>
    <s v="Android"/>
    <n v="37"/>
    <x v="63"/>
    <n v="375"/>
    <n v="18"/>
    <n v="246"/>
    <x v="41"/>
    <x v="1"/>
    <n v="1"/>
    <x v="0"/>
  </r>
  <r>
    <n v="336"/>
    <s v="OnePlus 9"/>
    <s v="Android"/>
    <n v="531"/>
    <x v="102"/>
    <n v="2905"/>
    <n v="99"/>
    <n v="1632"/>
    <x v="15"/>
    <x v="1"/>
    <n v="5"/>
    <x v="0"/>
  </r>
  <r>
    <n v="337"/>
    <s v="Samsung Galaxy S21"/>
    <s v="Android"/>
    <n v="473"/>
    <x v="72"/>
    <n v="2292"/>
    <n v="62"/>
    <n v="1472"/>
    <x v="12"/>
    <x v="0"/>
    <n v="4"/>
    <x v="0"/>
  </r>
  <r>
    <n v="338"/>
    <s v="Samsung Galaxy S21"/>
    <s v="Android"/>
    <n v="30"/>
    <x v="89"/>
    <n v="561"/>
    <n v="15"/>
    <n v="252"/>
    <x v="6"/>
    <x v="0"/>
    <n v="1"/>
    <x v="1"/>
  </r>
  <r>
    <n v="339"/>
    <s v="iPhone 12"/>
    <s v="iOS"/>
    <n v="306"/>
    <x v="92"/>
    <n v="2267"/>
    <n v="70"/>
    <n v="1449"/>
    <x v="41"/>
    <x v="0"/>
    <n v="4"/>
    <x v="0"/>
  </r>
  <r>
    <n v="340"/>
    <s v="iPhone 12"/>
    <s v="iOS"/>
    <n v="64"/>
    <x v="30"/>
    <n v="590"/>
    <n v="13"/>
    <n v="155"/>
    <x v="31"/>
    <x v="0"/>
    <n v="1"/>
    <x v="1"/>
  </r>
  <r>
    <n v="341"/>
    <s v="iPhone 12"/>
    <s v="iOS"/>
    <n v="75"/>
    <x v="78"/>
    <n v="435"/>
    <n v="13"/>
    <n v="223"/>
    <x v="9"/>
    <x v="0"/>
    <n v="1"/>
    <x v="0"/>
  </r>
  <r>
    <n v="342"/>
    <s v="iPhone 12"/>
    <s v="iOS"/>
    <n v="597"/>
    <x v="103"/>
    <n v="2718"/>
    <n v="90"/>
    <n v="1863"/>
    <x v="13"/>
    <x v="1"/>
    <n v="5"/>
    <x v="1"/>
  </r>
  <r>
    <n v="343"/>
    <s v="iPhone 12"/>
    <s v="iOS"/>
    <n v="529"/>
    <x v="25"/>
    <n v="2971"/>
    <n v="87"/>
    <n v="1683"/>
    <x v="25"/>
    <x v="0"/>
    <n v="5"/>
    <x v="0"/>
  </r>
  <r>
    <n v="344"/>
    <s v="iPhone 12"/>
    <s v="iOS"/>
    <n v="290"/>
    <x v="27"/>
    <n v="1533"/>
    <n v="54"/>
    <n v="645"/>
    <x v="8"/>
    <x v="1"/>
    <n v="3"/>
    <x v="0"/>
  </r>
  <r>
    <n v="345"/>
    <s v="iPhone 12"/>
    <s v="iOS"/>
    <n v="256"/>
    <x v="17"/>
    <n v="1309"/>
    <n v="52"/>
    <n v="840"/>
    <x v="9"/>
    <x v="0"/>
    <n v="3"/>
    <x v="0"/>
  </r>
  <r>
    <n v="346"/>
    <s v="iPhone 12"/>
    <s v="iOS"/>
    <n v="308"/>
    <x v="8"/>
    <n v="1974"/>
    <n v="73"/>
    <n v="1431"/>
    <x v="17"/>
    <x v="1"/>
    <n v="4"/>
    <x v="0"/>
  </r>
  <r>
    <n v="347"/>
    <s v="OnePlus 9"/>
    <s v="Android"/>
    <n v="156"/>
    <x v="31"/>
    <n v="1020"/>
    <n v="38"/>
    <n v="447"/>
    <x v="8"/>
    <x v="1"/>
    <n v="2"/>
    <x v="0"/>
  </r>
  <r>
    <n v="348"/>
    <s v="Samsung Galaxy S21"/>
    <s v="Android"/>
    <n v="62"/>
    <x v="10"/>
    <n v="542"/>
    <n v="18"/>
    <n v="266"/>
    <x v="41"/>
    <x v="0"/>
    <n v="1"/>
    <x v="0"/>
  </r>
  <r>
    <n v="349"/>
    <s v="Google Pixel 5"/>
    <s v="Android"/>
    <n v="156"/>
    <x v="68"/>
    <n v="866"/>
    <n v="34"/>
    <n v="510"/>
    <x v="13"/>
    <x v="0"/>
    <n v="2"/>
    <x v="1"/>
  </r>
  <r>
    <n v="350"/>
    <s v="Samsung Galaxy S21"/>
    <s v="Android"/>
    <n v="303"/>
    <x v="41"/>
    <n v="2314"/>
    <n v="66"/>
    <n v="1387"/>
    <x v="6"/>
    <x v="0"/>
    <n v="4"/>
    <x v="1"/>
  </r>
  <r>
    <n v="351"/>
    <s v="Samsung Galaxy S21"/>
    <s v="Android"/>
    <n v="463"/>
    <x v="93"/>
    <n v="2111"/>
    <n v="73"/>
    <n v="1463"/>
    <x v="29"/>
    <x v="0"/>
    <n v="4"/>
    <x v="0"/>
  </r>
  <r>
    <n v="352"/>
    <s v="Google Pixel 5"/>
    <s v="Android"/>
    <n v="60"/>
    <x v="63"/>
    <n v="593"/>
    <n v="14"/>
    <n v="281"/>
    <x v="37"/>
    <x v="1"/>
    <n v="1"/>
    <x v="0"/>
  </r>
  <r>
    <n v="353"/>
    <s v="Google Pixel 5"/>
    <s v="Android"/>
    <n v="225"/>
    <x v="28"/>
    <n v="1230"/>
    <n v="52"/>
    <n v="954"/>
    <x v="3"/>
    <x v="1"/>
    <n v="3"/>
    <x v="1"/>
  </r>
  <r>
    <n v="354"/>
    <s v="Samsung Galaxy S21"/>
    <s v="Android"/>
    <n v="379"/>
    <x v="50"/>
    <n v="1823"/>
    <n v="68"/>
    <n v="1075"/>
    <x v="30"/>
    <x v="1"/>
    <n v="4"/>
    <x v="0"/>
  </r>
  <r>
    <n v="355"/>
    <s v="OnePlus 9"/>
    <s v="Android"/>
    <n v="53"/>
    <x v="10"/>
    <n v="455"/>
    <n v="14"/>
    <n v="106"/>
    <x v="29"/>
    <x v="1"/>
    <n v="1"/>
    <x v="0"/>
  </r>
  <r>
    <n v="356"/>
    <s v="Samsung Galaxy S21"/>
    <s v="Android"/>
    <n v="30"/>
    <x v="51"/>
    <n v="574"/>
    <n v="19"/>
    <n v="287"/>
    <x v="15"/>
    <x v="0"/>
    <n v="1"/>
    <x v="0"/>
  </r>
  <r>
    <n v="357"/>
    <s v="iPhone 12"/>
    <s v="iOS"/>
    <n v="291"/>
    <x v="64"/>
    <n v="1326"/>
    <n v="51"/>
    <n v="905"/>
    <x v="21"/>
    <x v="1"/>
    <n v="3"/>
    <x v="0"/>
  </r>
  <r>
    <n v="358"/>
    <s v="iPhone 12"/>
    <s v="iOS"/>
    <n v="488"/>
    <x v="65"/>
    <n v="2840"/>
    <n v="92"/>
    <n v="1986"/>
    <x v="40"/>
    <x v="1"/>
    <n v="5"/>
    <x v="0"/>
  </r>
  <r>
    <n v="359"/>
    <s v="Google Pixel 5"/>
    <s v="Android"/>
    <n v="74"/>
    <x v="5"/>
    <n v="366"/>
    <n v="13"/>
    <n v="253"/>
    <x v="12"/>
    <x v="1"/>
    <n v="1"/>
    <x v="0"/>
  </r>
  <r>
    <n v="360"/>
    <s v="Samsung Galaxy S21"/>
    <s v="Android"/>
    <n v="230"/>
    <x v="28"/>
    <n v="1325"/>
    <n v="55"/>
    <n v="845"/>
    <x v="29"/>
    <x v="1"/>
    <n v="3"/>
    <x v="0"/>
  </r>
  <r>
    <n v="361"/>
    <s v="Samsung Galaxy S21"/>
    <s v="Android"/>
    <n v="517"/>
    <x v="76"/>
    <n v="2435"/>
    <n v="86"/>
    <n v="2208"/>
    <x v="13"/>
    <x v="0"/>
    <n v="5"/>
    <x v="1"/>
  </r>
  <r>
    <n v="362"/>
    <s v="OnePlus 9"/>
    <s v="Android"/>
    <n v="557"/>
    <x v="15"/>
    <n v="2900"/>
    <n v="97"/>
    <n v="1609"/>
    <x v="27"/>
    <x v="0"/>
    <n v="5"/>
    <x v="1"/>
  </r>
  <r>
    <n v="363"/>
    <s v="Xiaomi Mi 11"/>
    <s v="Android"/>
    <n v="78"/>
    <x v="63"/>
    <n v="341"/>
    <n v="11"/>
    <n v="259"/>
    <x v="24"/>
    <x v="1"/>
    <n v="1"/>
    <x v="0"/>
  </r>
  <r>
    <n v="364"/>
    <s v="iPhone 12"/>
    <s v="iOS"/>
    <n v="321"/>
    <x v="72"/>
    <n v="2159"/>
    <n v="64"/>
    <n v="1499"/>
    <x v="15"/>
    <x v="0"/>
    <n v="4"/>
    <x v="0"/>
  </r>
  <r>
    <n v="365"/>
    <s v="Xiaomi Mi 11"/>
    <s v="Android"/>
    <n v="579"/>
    <x v="69"/>
    <n v="2539"/>
    <n v="84"/>
    <n v="1935"/>
    <x v="6"/>
    <x v="0"/>
    <n v="5"/>
    <x v="1"/>
  </r>
  <r>
    <n v="366"/>
    <s v="OnePlus 9"/>
    <s v="Android"/>
    <n v="382"/>
    <x v="55"/>
    <n v="1965"/>
    <n v="67"/>
    <n v="1341"/>
    <x v="27"/>
    <x v="0"/>
    <n v="4"/>
    <x v="1"/>
  </r>
  <r>
    <n v="367"/>
    <s v="Xiaomi Mi 11"/>
    <s v="Android"/>
    <n v="516"/>
    <x v="20"/>
    <n v="2464"/>
    <n v="82"/>
    <n v="1767"/>
    <x v="14"/>
    <x v="1"/>
    <n v="5"/>
    <x v="1"/>
  </r>
  <r>
    <n v="368"/>
    <s v="OnePlus 9"/>
    <s v="Android"/>
    <n v="598"/>
    <x v="32"/>
    <n v="2876"/>
    <n v="85"/>
    <n v="2477"/>
    <x v="18"/>
    <x v="1"/>
    <n v="5"/>
    <x v="0"/>
  </r>
  <r>
    <n v="369"/>
    <s v="OnePlus 9"/>
    <s v="Android"/>
    <n v="102"/>
    <x v="104"/>
    <n v="747"/>
    <n v="36"/>
    <n v="408"/>
    <x v="10"/>
    <x v="1"/>
    <n v="2"/>
    <x v="0"/>
  </r>
  <r>
    <n v="370"/>
    <s v="iPhone 12"/>
    <s v="iOS"/>
    <n v="165"/>
    <x v="36"/>
    <n v="816"/>
    <n v="35"/>
    <n v="503"/>
    <x v="6"/>
    <x v="0"/>
    <n v="2"/>
    <x v="1"/>
  </r>
  <r>
    <n v="371"/>
    <s v="iPhone 12"/>
    <s v="iOS"/>
    <n v="558"/>
    <x v="102"/>
    <n v="2765"/>
    <n v="83"/>
    <n v="1548"/>
    <x v="23"/>
    <x v="1"/>
    <n v="5"/>
    <x v="1"/>
  </r>
  <r>
    <n v="372"/>
    <s v="Google Pixel 5"/>
    <s v="Android"/>
    <n v="561"/>
    <x v="61"/>
    <n v="2547"/>
    <n v="86"/>
    <n v="1823"/>
    <x v="27"/>
    <x v="0"/>
    <n v="5"/>
    <x v="1"/>
  </r>
  <r>
    <n v="373"/>
    <s v="Samsung Galaxy S21"/>
    <s v="Android"/>
    <n v="511"/>
    <x v="37"/>
    <n v="2514"/>
    <n v="91"/>
    <n v="2335"/>
    <x v="39"/>
    <x v="1"/>
    <n v="5"/>
    <x v="0"/>
  </r>
  <r>
    <n v="374"/>
    <s v="Google Pixel 5"/>
    <s v="Android"/>
    <n v="560"/>
    <x v="79"/>
    <n v="2947"/>
    <n v="95"/>
    <n v="1663"/>
    <x v="23"/>
    <x v="1"/>
    <n v="5"/>
    <x v="1"/>
  </r>
  <r>
    <n v="375"/>
    <s v="OnePlus 9"/>
    <s v="Android"/>
    <n v="69"/>
    <x v="89"/>
    <n v="434"/>
    <n v="12"/>
    <n v="164"/>
    <x v="2"/>
    <x v="0"/>
    <n v="1"/>
    <x v="0"/>
  </r>
  <r>
    <n v="376"/>
    <s v="OnePlus 9"/>
    <s v="Android"/>
    <n v="44"/>
    <x v="46"/>
    <n v="531"/>
    <n v="17"/>
    <n v="232"/>
    <x v="13"/>
    <x v="0"/>
    <n v="1"/>
    <x v="1"/>
  </r>
  <r>
    <n v="377"/>
    <s v="iPhone 12"/>
    <s v="iOS"/>
    <n v="65"/>
    <x v="54"/>
    <n v="490"/>
    <n v="17"/>
    <n v="122"/>
    <x v="34"/>
    <x v="1"/>
    <n v="1"/>
    <x v="0"/>
  </r>
  <r>
    <n v="378"/>
    <s v="Google Pixel 5"/>
    <s v="Android"/>
    <n v="458"/>
    <x v="27"/>
    <n v="1875"/>
    <n v="63"/>
    <n v="1072"/>
    <x v="4"/>
    <x v="1"/>
    <n v="4"/>
    <x v="1"/>
  </r>
  <r>
    <n v="379"/>
    <s v="Samsung Galaxy S21"/>
    <s v="Android"/>
    <n v="525"/>
    <x v="77"/>
    <n v="2445"/>
    <n v="99"/>
    <n v="1623"/>
    <x v="8"/>
    <x v="0"/>
    <n v="5"/>
    <x v="0"/>
  </r>
  <r>
    <n v="380"/>
    <s v="OnePlus 9"/>
    <s v="Android"/>
    <n v="106"/>
    <x v="100"/>
    <n v="922"/>
    <n v="22"/>
    <n v="313"/>
    <x v="34"/>
    <x v="0"/>
    <n v="2"/>
    <x v="0"/>
  </r>
  <r>
    <n v="381"/>
    <s v="iPhone 12"/>
    <s v="iOS"/>
    <n v="188"/>
    <x v="28"/>
    <n v="1767"/>
    <n v="47"/>
    <n v="653"/>
    <x v="6"/>
    <x v="0"/>
    <n v="3"/>
    <x v="1"/>
  </r>
  <r>
    <n v="382"/>
    <s v="iPhone 12"/>
    <s v="iOS"/>
    <n v="493"/>
    <x v="15"/>
    <n v="2453"/>
    <n v="99"/>
    <n v="1813"/>
    <x v="11"/>
    <x v="0"/>
    <n v="5"/>
    <x v="0"/>
  </r>
  <r>
    <n v="383"/>
    <s v="OnePlus 9"/>
    <s v="Android"/>
    <n v="84"/>
    <x v="63"/>
    <n v="373"/>
    <n v="19"/>
    <n v="299"/>
    <x v="17"/>
    <x v="1"/>
    <n v="1"/>
    <x v="0"/>
  </r>
  <r>
    <n v="384"/>
    <s v="OnePlus 9"/>
    <s v="Android"/>
    <n v="104"/>
    <x v="99"/>
    <n v="653"/>
    <n v="35"/>
    <n v="322"/>
    <x v="31"/>
    <x v="0"/>
    <n v="2"/>
    <x v="1"/>
  </r>
  <r>
    <n v="385"/>
    <s v="Samsung Galaxy S21"/>
    <s v="Android"/>
    <n v="102"/>
    <x v="100"/>
    <n v="890"/>
    <n v="38"/>
    <n v="548"/>
    <x v="32"/>
    <x v="0"/>
    <n v="2"/>
    <x v="1"/>
  </r>
  <r>
    <n v="386"/>
    <s v="iPhone 12"/>
    <s v="iOS"/>
    <n v="349"/>
    <x v="9"/>
    <n v="2041"/>
    <n v="78"/>
    <n v="1096"/>
    <x v="0"/>
    <x v="1"/>
    <n v="4"/>
    <x v="0"/>
  </r>
  <r>
    <n v="387"/>
    <s v="OnePlus 9"/>
    <s v="Android"/>
    <n v="98"/>
    <x v="5"/>
    <n v="925"/>
    <n v="32"/>
    <n v="457"/>
    <x v="32"/>
    <x v="0"/>
    <n v="2"/>
    <x v="1"/>
  </r>
  <r>
    <n v="388"/>
    <s v="Samsung Galaxy S21"/>
    <s v="Android"/>
    <n v="72"/>
    <x v="89"/>
    <n v="461"/>
    <n v="13"/>
    <n v="199"/>
    <x v="36"/>
    <x v="0"/>
    <n v="1"/>
    <x v="1"/>
  </r>
  <r>
    <n v="389"/>
    <s v="Xiaomi Mi 11"/>
    <s v="Android"/>
    <n v="563"/>
    <x v="20"/>
    <n v="2968"/>
    <n v="92"/>
    <n v="2191"/>
    <x v="6"/>
    <x v="1"/>
    <n v="5"/>
    <x v="1"/>
  </r>
  <r>
    <n v="390"/>
    <s v="Xiaomi Mi 11"/>
    <s v="Android"/>
    <n v="119"/>
    <x v="62"/>
    <n v="775"/>
    <n v="31"/>
    <n v="313"/>
    <x v="33"/>
    <x v="1"/>
    <n v="2"/>
    <x v="0"/>
  </r>
  <r>
    <n v="391"/>
    <s v="OnePlus 9"/>
    <s v="Android"/>
    <n v="311"/>
    <x v="72"/>
    <n v="2231"/>
    <n v="69"/>
    <n v="1021"/>
    <x v="38"/>
    <x v="0"/>
    <n v="4"/>
    <x v="0"/>
  </r>
  <r>
    <n v="392"/>
    <s v="OnePlus 9"/>
    <s v="Android"/>
    <n v="337"/>
    <x v="92"/>
    <n v="1901"/>
    <n v="76"/>
    <n v="1359"/>
    <x v="18"/>
    <x v="0"/>
    <n v="4"/>
    <x v="0"/>
  </r>
  <r>
    <n v="393"/>
    <s v="Samsung Galaxy S21"/>
    <s v="Android"/>
    <n v="168"/>
    <x v="97"/>
    <n v="1055"/>
    <n v="29"/>
    <n v="313"/>
    <x v="29"/>
    <x v="0"/>
    <n v="2"/>
    <x v="0"/>
  </r>
  <r>
    <n v="394"/>
    <s v="iPhone 12"/>
    <s v="iOS"/>
    <n v="331"/>
    <x v="41"/>
    <n v="2129"/>
    <n v="66"/>
    <n v="1459"/>
    <x v="30"/>
    <x v="0"/>
    <n v="4"/>
    <x v="0"/>
  </r>
  <r>
    <n v="395"/>
    <s v="Google Pixel 5"/>
    <s v="Android"/>
    <n v="589"/>
    <x v="85"/>
    <n v="2663"/>
    <n v="84"/>
    <n v="1774"/>
    <x v="15"/>
    <x v="1"/>
    <n v="5"/>
    <x v="0"/>
  </r>
  <r>
    <n v="396"/>
    <s v="Xiaomi Mi 11"/>
    <s v="Android"/>
    <n v="472"/>
    <x v="26"/>
    <n v="2288"/>
    <n v="61"/>
    <n v="1356"/>
    <x v="19"/>
    <x v="0"/>
    <n v="4"/>
    <x v="0"/>
  </r>
  <r>
    <n v="397"/>
    <s v="Xiaomi Mi 11"/>
    <s v="Android"/>
    <n v="78"/>
    <x v="46"/>
    <n v="437"/>
    <n v="14"/>
    <n v="143"/>
    <x v="28"/>
    <x v="1"/>
    <n v="1"/>
    <x v="1"/>
  </r>
  <r>
    <n v="398"/>
    <s v="iPhone 12"/>
    <s v="iOS"/>
    <n v="517"/>
    <x v="20"/>
    <n v="2798"/>
    <n v="90"/>
    <n v="2175"/>
    <x v="3"/>
    <x v="0"/>
    <n v="5"/>
    <x v="1"/>
  </r>
  <r>
    <n v="399"/>
    <s v="OnePlus 9"/>
    <s v="Android"/>
    <n v="41"/>
    <x v="45"/>
    <n v="323"/>
    <n v="18"/>
    <n v="221"/>
    <x v="9"/>
    <x v="1"/>
    <n v="1"/>
    <x v="0"/>
  </r>
  <r>
    <n v="400"/>
    <s v="OnePlus 9"/>
    <s v="Android"/>
    <n v="49"/>
    <x v="63"/>
    <n v="571"/>
    <n v="10"/>
    <n v="203"/>
    <x v="14"/>
    <x v="0"/>
    <n v="1"/>
    <x v="1"/>
  </r>
  <r>
    <n v="401"/>
    <s v="Xiaomi Mi 11"/>
    <s v="Android"/>
    <n v="522"/>
    <x v="81"/>
    <n v="2821"/>
    <n v="86"/>
    <n v="1891"/>
    <x v="2"/>
    <x v="0"/>
    <n v="5"/>
    <x v="0"/>
  </r>
  <r>
    <n v="402"/>
    <s v="Google Pixel 5"/>
    <s v="Android"/>
    <n v="97"/>
    <x v="43"/>
    <n v="612"/>
    <n v="36"/>
    <n v="508"/>
    <x v="30"/>
    <x v="0"/>
    <n v="2"/>
    <x v="0"/>
  </r>
  <r>
    <n v="403"/>
    <s v="iPhone 12"/>
    <s v="iOS"/>
    <n v="411"/>
    <x v="41"/>
    <n v="1960"/>
    <n v="71"/>
    <n v="1264"/>
    <x v="0"/>
    <x v="0"/>
    <n v="4"/>
    <x v="0"/>
  </r>
  <r>
    <n v="404"/>
    <s v="Samsung Galaxy S21"/>
    <s v="Android"/>
    <n v="566"/>
    <x v="69"/>
    <n v="2595"/>
    <n v="89"/>
    <n v="1657"/>
    <x v="34"/>
    <x v="1"/>
    <n v="5"/>
    <x v="0"/>
  </r>
  <r>
    <n v="405"/>
    <s v="iPhone 12"/>
    <s v="iOS"/>
    <n v="559"/>
    <x v="39"/>
    <n v="2618"/>
    <n v="84"/>
    <n v="2102"/>
    <x v="27"/>
    <x v="1"/>
    <n v="5"/>
    <x v="1"/>
  </r>
  <r>
    <n v="406"/>
    <s v="Google Pixel 5"/>
    <s v="Android"/>
    <n v="478"/>
    <x v="6"/>
    <n v="2340"/>
    <n v="69"/>
    <n v="1017"/>
    <x v="9"/>
    <x v="1"/>
    <n v="4"/>
    <x v="0"/>
  </r>
  <r>
    <n v="407"/>
    <s v="Xiaomi Mi 11"/>
    <s v="Android"/>
    <n v="147"/>
    <x v="71"/>
    <n v="994"/>
    <n v="33"/>
    <n v="567"/>
    <x v="23"/>
    <x v="1"/>
    <n v="2"/>
    <x v="1"/>
  </r>
  <r>
    <n v="408"/>
    <s v="OnePlus 9"/>
    <s v="Android"/>
    <n v="395"/>
    <x v="6"/>
    <n v="2291"/>
    <n v="61"/>
    <n v="1049"/>
    <x v="21"/>
    <x v="1"/>
    <n v="4"/>
    <x v="0"/>
  </r>
  <r>
    <n v="409"/>
    <s v="Samsung Galaxy S21"/>
    <s v="Android"/>
    <n v="357"/>
    <x v="84"/>
    <n v="2289"/>
    <n v="74"/>
    <n v="1242"/>
    <x v="27"/>
    <x v="1"/>
    <n v="4"/>
    <x v="1"/>
  </r>
  <r>
    <n v="410"/>
    <s v="Google Pixel 5"/>
    <s v="Android"/>
    <n v="405"/>
    <x v="93"/>
    <n v="2366"/>
    <n v="61"/>
    <n v="1434"/>
    <x v="34"/>
    <x v="0"/>
    <n v="4"/>
    <x v="0"/>
  </r>
  <r>
    <n v="411"/>
    <s v="Samsung Galaxy S21"/>
    <s v="Android"/>
    <n v="501"/>
    <x v="76"/>
    <n v="2790"/>
    <n v="86"/>
    <n v="2074"/>
    <x v="4"/>
    <x v="1"/>
    <n v="5"/>
    <x v="1"/>
  </r>
  <r>
    <n v="412"/>
    <s v="Xiaomi Mi 11"/>
    <s v="Android"/>
    <n v="575"/>
    <x v="39"/>
    <n v="2918"/>
    <n v="88"/>
    <n v="1928"/>
    <x v="33"/>
    <x v="0"/>
    <n v="5"/>
    <x v="0"/>
  </r>
  <r>
    <n v="413"/>
    <s v="OnePlus 9"/>
    <s v="Android"/>
    <n v="257"/>
    <x v="70"/>
    <n v="1692"/>
    <n v="46"/>
    <n v="769"/>
    <x v="19"/>
    <x v="1"/>
    <n v="3"/>
    <x v="0"/>
  </r>
  <r>
    <n v="414"/>
    <s v="iPhone 12"/>
    <s v="iOS"/>
    <n v="270"/>
    <x v="98"/>
    <n v="1532"/>
    <n v="51"/>
    <n v="957"/>
    <x v="37"/>
    <x v="0"/>
    <n v="3"/>
    <x v="0"/>
  </r>
  <r>
    <n v="415"/>
    <s v="Google Pixel 5"/>
    <s v="Android"/>
    <n v="116"/>
    <x v="5"/>
    <n v="1171"/>
    <n v="22"/>
    <n v="573"/>
    <x v="20"/>
    <x v="1"/>
    <n v="2"/>
    <x v="1"/>
  </r>
  <r>
    <n v="416"/>
    <s v="iPhone 12"/>
    <s v="iOS"/>
    <n v="98"/>
    <x v="95"/>
    <n v="608"/>
    <n v="24"/>
    <n v="394"/>
    <x v="25"/>
    <x v="0"/>
    <n v="2"/>
    <x v="0"/>
  </r>
  <r>
    <n v="417"/>
    <s v="Xiaomi Mi 11"/>
    <s v="Android"/>
    <n v="264"/>
    <x v="70"/>
    <n v="1293"/>
    <n v="52"/>
    <n v="737"/>
    <x v="28"/>
    <x v="1"/>
    <n v="3"/>
    <x v="1"/>
  </r>
  <r>
    <n v="418"/>
    <s v="Samsung Galaxy S21"/>
    <s v="Android"/>
    <n v="572"/>
    <x v="96"/>
    <n v="2655"/>
    <n v="91"/>
    <n v="2481"/>
    <x v="8"/>
    <x v="1"/>
    <n v="5"/>
    <x v="0"/>
  </r>
  <r>
    <n v="419"/>
    <s v="Xiaomi Mi 11"/>
    <s v="Android"/>
    <n v="202"/>
    <x v="13"/>
    <n v="1549"/>
    <n v="43"/>
    <n v="964"/>
    <x v="28"/>
    <x v="1"/>
    <n v="3"/>
    <x v="1"/>
  </r>
  <r>
    <n v="420"/>
    <s v="iPhone 12"/>
    <s v="iOS"/>
    <n v="83"/>
    <x v="10"/>
    <n v="454"/>
    <n v="11"/>
    <n v="228"/>
    <x v="41"/>
    <x v="0"/>
    <n v="1"/>
    <x v="0"/>
  </r>
  <r>
    <n v="421"/>
    <s v="iPhone 12"/>
    <s v="iOS"/>
    <n v="32"/>
    <x v="10"/>
    <n v="416"/>
    <n v="12"/>
    <n v="198"/>
    <x v="25"/>
    <x v="0"/>
    <n v="1"/>
    <x v="0"/>
  </r>
  <r>
    <n v="422"/>
    <s v="iPhone 12"/>
    <s v="iOS"/>
    <n v="168"/>
    <x v="71"/>
    <n v="716"/>
    <n v="38"/>
    <n v="414"/>
    <x v="9"/>
    <x v="0"/>
    <n v="2"/>
    <x v="0"/>
  </r>
  <r>
    <n v="423"/>
    <s v="iPhone 12"/>
    <s v="iOS"/>
    <n v="416"/>
    <x v="92"/>
    <n v="2115"/>
    <n v="71"/>
    <n v="1041"/>
    <x v="27"/>
    <x v="1"/>
    <n v="4"/>
    <x v="1"/>
  </r>
  <r>
    <n v="424"/>
    <s v="Xiaomi Mi 11"/>
    <s v="Android"/>
    <n v="46"/>
    <x v="46"/>
    <n v="536"/>
    <n v="18"/>
    <n v="167"/>
    <x v="32"/>
    <x v="1"/>
    <n v="1"/>
    <x v="1"/>
  </r>
  <r>
    <n v="425"/>
    <s v="OnePlus 9"/>
    <s v="Android"/>
    <n v="201"/>
    <x v="98"/>
    <n v="1482"/>
    <n v="59"/>
    <n v="709"/>
    <x v="7"/>
    <x v="0"/>
    <n v="3"/>
    <x v="1"/>
  </r>
  <r>
    <n v="426"/>
    <s v="Samsung Galaxy S21"/>
    <s v="Android"/>
    <n v="130"/>
    <x v="62"/>
    <n v="1062"/>
    <n v="24"/>
    <n v="579"/>
    <x v="17"/>
    <x v="0"/>
    <n v="2"/>
    <x v="0"/>
  </r>
  <r>
    <n v="427"/>
    <s v="OnePlus 9"/>
    <s v="Android"/>
    <n v="98"/>
    <x v="36"/>
    <n v="747"/>
    <n v="36"/>
    <n v="403"/>
    <x v="12"/>
    <x v="1"/>
    <n v="2"/>
    <x v="0"/>
  </r>
  <r>
    <n v="428"/>
    <s v="OnePlus 9"/>
    <s v="Android"/>
    <n v="105"/>
    <x v="68"/>
    <n v="967"/>
    <n v="28"/>
    <n v="489"/>
    <x v="34"/>
    <x v="0"/>
    <n v="2"/>
    <x v="0"/>
  </r>
  <r>
    <n v="429"/>
    <s v="Xiaomi Mi 11"/>
    <s v="Android"/>
    <n v="94"/>
    <x v="95"/>
    <n v="1033"/>
    <n v="33"/>
    <n v="369"/>
    <x v="18"/>
    <x v="0"/>
    <n v="2"/>
    <x v="0"/>
  </r>
  <r>
    <n v="430"/>
    <s v="Xiaomi Mi 11"/>
    <s v="Android"/>
    <n v="540"/>
    <x v="33"/>
    <n v="2757"/>
    <n v="90"/>
    <n v="2180"/>
    <x v="17"/>
    <x v="0"/>
    <n v="5"/>
    <x v="0"/>
  </r>
  <r>
    <n v="431"/>
    <s v="iPhone 12"/>
    <s v="iOS"/>
    <n v="266"/>
    <x v="11"/>
    <n v="1238"/>
    <n v="59"/>
    <n v="839"/>
    <x v="27"/>
    <x v="0"/>
    <n v="3"/>
    <x v="1"/>
  </r>
  <r>
    <n v="432"/>
    <s v="iPhone 12"/>
    <s v="iOS"/>
    <n v="140"/>
    <x v="68"/>
    <n v="1137"/>
    <n v="36"/>
    <n v="506"/>
    <x v="30"/>
    <x v="0"/>
    <n v="2"/>
    <x v="0"/>
  </r>
  <r>
    <n v="433"/>
    <s v="Google Pixel 5"/>
    <s v="Android"/>
    <n v="534"/>
    <x v="15"/>
    <n v="2672"/>
    <n v="90"/>
    <n v="1702"/>
    <x v="34"/>
    <x v="0"/>
    <n v="5"/>
    <x v="0"/>
  </r>
  <r>
    <n v="434"/>
    <s v="OnePlus 9"/>
    <s v="Android"/>
    <n v="46"/>
    <x v="5"/>
    <n v="309"/>
    <n v="15"/>
    <n v="116"/>
    <x v="2"/>
    <x v="0"/>
    <n v="1"/>
    <x v="0"/>
  </r>
  <r>
    <n v="435"/>
    <s v="iPhone 12"/>
    <s v="iOS"/>
    <n v="581"/>
    <x v="38"/>
    <n v="2591"/>
    <n v="99"/>
    <n v="2304"/>
    <x v="18"/>
    <x v="0"/>
    <n v="5"/>
    <x v="0"/>
  </r>
  <r>
    <n v="436"/>
    <s v="Xiaomi Mi 11"/>
    <s v="Android"/>
    <n v="105"/>
    <x v="23"/>
    <n v="798"/>
    <n v="21"/>
    <n v="467"/>
    <x v="6"/>
    <x v="1"/>
    <n v="2"/>
    <x v="1"/>
  </r>
  <r>
    <n v="437"/>
    <s v="OnePlus 9"/>
    <s v="Android"/>
    <n v="221"/>
    <x v="87"/>
    <n v="1341"/>
    <n v="46"/>
    <n v="862"/>
    <x v="3"/>
    <x v="0"/>
    <n v="3"/>
    <x v="1"/>
  </r>
  <r>
    <n v="438"/>
    <s v="iPhone 12"/>
    <s v="iOS"/>
    <n v="41"/>
    <x v="54"/>
    <n v="408"/>
    <n v="16"/>
    <n v="291"/>
    <x v="6"/>
    <x v="0"/>
    <n v="1"/>
    <x v="1"/>
  </r>
  <r>
    <n v="439"/>
    <s v="OnePlus 9"/>
    <s v="Android"/>
    <n v="105"/>
    <x v="100"/>
    <n v="728"/>
    <n v="24"/>
    <n v="343"/>
    <x v="19"/>
    <x v="1"/>
    <n v="2"/>
    <x v="0"/>
  </r>
  <r>
    <n v="440"/>
    <s v="Google Pixel 5"/>
    <s v="Android"/>
    <n v="123"/>
    <x v="104"/>
    <n v="915"/>
    <n v="39"/>
    <n v="468"/>
    <x v="26"/>
    <x v="0"/>
    <n v="2"/>
    <x v="0"/>
  </r>
  <r>
    <n v="441"/>
    <s v="Google Pixel 5"/>
    <s v="Android"/>
    <n v="260"/>
    <x v="58"/>
    <n v="1725"/>
    <n v="56"/>
    <n v="920"/>
    <x v="38"/>
    <x v="1"/>
    <n v="3"/>
    <x v="0"/>
  </r>
  <r>
    <n v="442"/>
    <s v="Samsung Galaxy S21"/>
    <s v="Android"/>
    <n v="223"/>
    <x v="58"/>
    <n v="1295"/>
    <n v="44"/>
    <n v="751"/>
    <x v="11"/>
    <x v="0"/>
    <n v="3"/>
    <x v="0"/>
  </r>
  <r>
    <n v="443"/>
    <s v="Google Pixel 5"/>
    <s v="Android"/>
    <n v="66"/>
    <x v="46"/>
    <n v="505"/>
    <n v="17"/>
    <n v="218"/>
    <x v="20"/>
    <x v="0"/>
    <n v="1"/>
    <x v="1"/>
  </r>
  <r>
    <n v="444"/>
    <s v="iPhone 12"/>
    <s v="iOS"/>
    <n v="231"/>
    <x v="2"/>
    <n v="1664"/>
    <n v="48"/>
    <n v="724"/>
    <x v="14"/>
    <x v="1"/>
    <n v="3"/>
    <x v="1"/>
  </r>
  <r>
    <n v="445"/>
    <s v="iPhone 12"/>
    <s v="iOS"/>
    <n v="555"/>
    <x v="105"/>
    <n v="2540"/>
    <n v="97"/>
    <n v="2402"/>
    <x v="27"/>
    <x v="0"/>
    <n v="5"/>
    <x v="1"/>
  </r>
  <r>
    <n v="446"/>
    <s v="Samsung Galaxy S21"/>
    <s v="Android"/>
    <n v="378"/>
    <x v="55"/>
    <n v="1859"/>
    <n v="61"/>
    <n v="1318"/>
    <x v="18"/>
    <x v="0"/>
    <n v="4"/>
    <x v="0"/>
  </r>
  <r>
    <n v="447"/>
    <s v="OnePlus 9"/>
    <s v="Android"/>
    <n v="546"/>
    <x v="105"/>
    <n v="2852"/>
    <n v="81"/>
    <n v="1641"/>
    <x v="7"/>
    <x v="0"/>
    <n v="5"/>
    <x v="1"/>
  </r>
  <r>
    <n v="448"/>
    <s v="Samsung Galaxy S21"/>
    <s v="Android"/>
    <n v="234"/>
    <x v="73"/>
    <n v="1604"/>
    <n v="58"/>
    <n v="919"/>
    <x v="18"/>
    <x v="0"/>
    <n v="3"/>
    <x v="0"/>
  </r>
  <r>
    <n v="449"/>
    <s v="Samsung Galaxy S21"/>
    <s v="Android"/>
    <n v="152"/>
    <x v="100"/>
    <n v="617"/>
    <n v="22"/>
    <n v="306"/>
    <x v="27"/>
    <x v="1"/>
    <n v="2"/>
    <x v="1"/>
  </r>
  <r>
    <n v="450"/>
    <s v="Google Pixel 5"/>
    <s v="Android"/>
    <n v="34"/>
    <x v="30"/>
    <n v="518"/>
    <n v="10"/>
    <n v="170"/>
    <x v="3"/>
    <x v="1"/>
    <n v="1"/>
    <x v="1"/>
  </r>
  <r>
    <n v="451"/>
    <s v="Samsung Galaxy S21"/>
    <s v="Android"/>
    <n v="179"/>
    <x v="97"/>
    <n v="1114"/>
    <n v="30"/>
    <n v="466"/>
    <x v="25"/>
    <x v="0"/>
    <n v="2"/>
    <x v="0"/>
  </r>
  <r>
    <n v="452"/>
    <s v="OnePlus 9"/>
    <s v="Android"/>
    <n v="591"/>
    <x v="76"/>
    <n v="2953"/>
    <n v="92"/>
    <n v="1903"/>
    <x v="19"/>
    <x v="0"/>
    <n v="5"/>
    <x v="0"/>
  </r>
  <r>
    <n v="453"/>
    <s v="Samsung Galaxy S21"/>
    <s v="Android"/>
    <n v="120"/>
    <x v="31"/>
    <n v="734"/>
    <n v="35"/>
    <n v="583"/>
    <x v="13"/>
    <x v="0"/>
    <n v="2"/>
    <x v="1"/>
  </r>
  <r>
    <n v="454"/>
    <s v="Google Pixel 5"/>
    <s v="Android"/>
    <n v="88"/>
    <x v="89"/>
    <n v="557"/>
    <n v="13"/>
    <n v="164"/>
    <x v="9"/>
    <x v="0"/>
    <n v="1"/>
    <x v="0"/>
  </r>
  <r>
    <n v="455"/>
    <s v="iPhone 12"/>
    <s v="iOS"/>
    <n v="143"/>
    <x v="104"/>
    <n v="1160"/>
    <n v="24"/>
    <n v="398"/>
    <x v="15"/>
    <x v="0"/>
    <n v="2"/>
    <x v="0"/>
  </r>
  <r>
    <n v="456"/>
    <s v="iPhone 12"/>
    <s v="iOS"/>
    <n v="74"/>
    <x v="45"/>
    <n v="436"/>
    <n v="13"/>
    <n v="182"/>
    <x v="28"/>
    <x v="1"/>
    <n v="1"/>
    <x v="1"/>
  </r>
  <r>
    <n v="457"/>
    <s v="iPhone 12"/>
    <s v="iOS"/>
    <n v="74"/>
    <x v="45"/>
    <n v="587"/>
    <n v="15"/>
    <n v="275"/>
    <x v="28"/>
    <x v="1"/>
    <n v="1"/>
    <x v="1"/>
  </r>
  <r>
    <n v="458"/>
    <s v="OnePlus 9"/>
    <s v="Android"/>
    <n v="234"/>
    <x v="1"/>
    <n v="1707"/>
    <n v="55"/>
    <n v="871"/>
    <x v="41"/>
    <x v="0"/>
    <n v="3"/>
    <x v="0"/>
  </r>
  <r>
    <n v="459"/>
    <s v="iPhone 12"/>
    <s v="iOS"/>
    <n v="56"/>
    <x v="78"/>
    <n v="547"/>
    <n v="10"/>
    <n v="142"/>
    <x v="18"/>
    <x v="1"/>
    <n v="1"/>
    <x v="0"/>
  </r>
  <r>
    <n v="460"/>
    <s v="OnePlus 9"/>
    <s v="Android"/>
    <n v="174"/>
    <x v="36"/>
    <n v="639"/>
    <n v="37"/>
    <n v="545"/>
    <x v="33"/>
    <x v="0"/>
    <n v="2"/>
    <x v="0"/>
  </r>
  <r>
    <n v="461"/>
    <s v="Samsung Galaxy S21"/>
    <s v="Android"/>
    <n v="523"/>
    <x v="56"/>
    <n v="2696"/>
    <n v="91"/>
    <n v="1561"/>
    <x v="3"/>
    <x v="1"/>
    <n v="5"/>
    <x v="1"/>
  </r>
  <r>
    <n v="462"/>
    <s v="Samsung Galaxy S21"/>
    <s v="Android"/>
    <n v="123"/>
    <x v="31"/>
    <n v="938"/>
    <n v="36"/>
    <n v="438"/>
    <x v="21"/>
    <x v="0"/>
    <n v="2"/>
    <x v="0"/>
  </r>
  <r>
    <n v="463"/>
    <s v="Samsung Galaxy S21"/>
    <s v="Android"/>
    <n v="216"/>
    <x v="42"/>
    <n v="1789"/>
    <n v="54"/>
    <n v="987"/>
    <x v="21"/>
    <x v="0"/>
    <n v="3"/>
    <x v="0"/>
  </r>
  <r>
    <n v="464"/>
    <s v="iPhone 12"/>
    <s v="iOS"/>
    <n v="290"/>
    <x v="28"/>
    <n v="1694"/>
    <n v="50"/>
    <n v="809"/>
    <x v="16"/>
    <x v="0"/>
    <n v="3"/>
    <x v="1"/>
  </r>
  <r>
    <n v="465"/>
    <s v="Xiaomi Mi 11"/>
    <s v="Android"/>
    <n v="68"/>
    <x v="89"/>
    <n v="583"/>
    <n v="10"/>
    <n v="281"/>
    <x v="13"/>
    <x v="1"/>
    <n v="1"/>
    <x v="1"/>
  </r>
  <r>
    <n v="466"/>
    <s v="OnePlus 9"/>
    <s v="Android"/>
    <n v="265"/>
    <x v="3"/>
    <n v="1770"/>
    <n v="51"/>
    <n v="723"/>
    <x v="21"/>
    <x v="1"/>
    <n v="3"/>
    <x v="0"/>
  </r>
  <r>
    <n v="467"/>
    <s v="Samsung Galaxy S21"/>
    <s v="Android"/>
    <n v="414"/>
    <x v="6"/>
    <n v="2349"/>
    <n v="75"/>
    <n v="1092"/>
    <x v="34"/>
    <x v="0"/>
    <n v="4"/>
    <x v="0"/>
  </r>
  <r>
    <n v="468"/>
    <s v="Google Pixel 5"/>
    <s v="Android"/>
    <n v="238"/>
    <x v="2"/>
    <n v="1414"/>
    <n v="47"/>
    <n v="661"/>
    <x v="35"/>
    <x v="1"/>
    <n v="3"/>
    <x v="0"/>
  </r>
  <r>
    <n v="469"/>
    <s v="Xiaomi Mi 11"/>
    <s v="Android"/>
    <n v="429"/>
    <x v="50"/>
    <n v="1921"/>
    <n v="61"/>
    <n v="1102"/>
    <x v="41"/>
    <x v="0"/>
    <n v="4"/>
    <x v="0"/>
  </r>
  <r>
    <n v="470"/>
    <s v="Xiaomi Mi 11"/>
    <s v="Android"/>
    <n v="39"/>
    <x v="51"/>
    <n v="541"/>
    <n v="16"/>
    <n v="294"/>
    <x v="17"/>
    <x v="0"/>
    <n v="1"/>
    <x v="0"/>
  </r>
  <r>
    <n v="471"/>
    <s v="Samsung Galaxy S21"/>
    <s v="Android"/>
    <n v="248"/>
    <x v="28"/>
    <n v="1396"/>
    <n v="52"/>
    <n v="883"/>
    <x v="0"/>
    <x v="0"/>
    <n v="3"/>
    <x v="0"/>
  </r>
  <r>
    <n v="472"/>
    <s v="Xiaomi Mi 11"/>
    <s v="Android"/>
    <n v="541"/>
    <x v="83"/>
    <n v="2452"/>
    <n v="93"/>
    <n v="1811"/>
    <x v="30"/>
    <x v="1"/>
    <n v="5"/>
    <x v="0"/>
  </r>
  <r>
    <n v="473"/>
    <s v="Xiaomi Mi 11"/>
    <s v="Android"/>
    <n v="139"/>
    <x v="100"/>
    <n v="697"/>
    <n v="37"/>
    <n v="513"/>
    <x v="13"/>
    <x v="1"/>
    <n v="2"/>
    <x v="1"/>
  </r>
  <r>
    <n v="474"/>
    <s v="iPhone 12"/>
    <s v="iOS"/>
    <n v="289"/>
    <x v="98"/>
    <n v="1625"/>
    <n v="45"/>
    <n v="687"/>
    <x v="14"/>
    <x v="0"/>
    <n v="3"/>
    <x v="1"/>
  </r>
  <r>
    <n v="475"/>
    <s v="Xiaomi Mi 11"/>
    <s v="Android"/>
    <n v="210"/>
    <x v="13"/>
    <n v="1657"/>
    <n v="55"/>
    <n v="765"/>
    <x v="10"/>
    <x v="1"/>
    <n v="3"/>
    <x v="0"/>
  </r>
  <r>
    <n v="476"/>
    <s v="Samsung Galaxy S21"/>
    <s v="Android"/>
    <n v="412"/>
    <x v="12"/>
    <n v="2201"/>
    <n v="68"/>
    <n v="1085"/>
    <x v="29"/>
    <x v="1"/>
    <n v="4"/>
    <x v="0"/>
  </r>
  <r>
    <n v="477"/>
    <s v="Google Pixel 5"/>
    <s v="Android"/>
    <n v="318"/>
    <x v="9"/>
    <n v="2089"/>
    <n v="77"/>
    <n v="1126"/>
    <x v="10"/>
    <x v="1"/>
    <n v="4"/>
    <x v="0"/>
  </r>
  <r>
    <n v="478"/>
    <s v="iPhone 12"/>
    <s v="iOS"/>
    <n v="258"/>
    <x v="67"/>
    <n v="1315"/>
    <n v="44"/>
    <n v="762"/>
    <x v="39"/>
    <x v="1"/>
    <n v="3"/>
    <x v="0"/>
  </r>
  <r>
    <n v="479"/>
    <s v="OnePlus 9"/>
    <s v="Android"/>
    <n v="258"/>
    <x v="4"/>
    <n v="1759"/>
    <n v="59"/>
    <n v="718"/>
    <x v="35"/>
    <x v="1"/>
    <n v="3"/>
    <x v="0"/>
  </r>
  <r>
    <n v="480"/>
    <s v="Samsung Galaxy S21"/>
    <s v="Android"/>
    <n v="189"/>
    <x v="3"/>
    <n v="1681"/>
    <n v="59"/>
    <n v="795"/>
    <x v="8"/>
    <x v="0"/>
    <n v="3"/>
    <x v="0"/>
  </r>
  <r>
    <n v="481"/>
    <s v="iPhone 12"/>
    <s v="iOS"/>
    <n v="155"/>
    <x v="36"/>
    <n v="954"/>
    <n v="39"/>
    <n v="441"/>
    <x v="34"/>
    <x v="0"/>
    <n v="2"/>
    <x v="0"/>
  </r>
  <r>
    <n v="482"/>
    <s v="Samsung Galaxy S21"/>
    <s v="Android"/>
    <n v="528"/>
    <x v="15"/>
    <n v="2717"/>
    <n v="87"/>
    <n v="2140"/>
    <x v="6"/>
    <x v="0"/>
    <n v="5"/>
    <x v="1"/>
  </r>
  <r>
    <n v="483"/>
    <s v="iPhone 12"/>
    <s v="iOS"/>
    <n v="549"/>
    <x v="81"/>
    <n v="2851"/>
    <n v="87"/>
    <n v="1814"/>
    <x v="25"/>
    <x v="0"/>
    <n v="5"/>
    <x v="0"/>
  </r>
  <r>
    <n v="484"/>
    <s v="Xiaomi Mi 11"/>
    <s v="Android"/>
    <n v="78"/>
    <x v="45"/>
    <n v="470"/>
    <n v="18"/>
    <n v="230"/>
    <x v="10"/>
    <x v="1"/>
    <n v="1"/>
    <x v="0"/>
  </r>
  <r>
    <n v="485"/>
    <s v="iPhone 12"/>
    <s v="iOS"/>
    <n v="444"/>
    <x v="27"/>
    <n v="1873"/>
    <n v="61"/>
    <n v="1093"/>
    <x v="11"/>
    <x v="1"/>
    <n v="4"/>
    <x v="0"/>
  </r>
  <r>
    <n v="486"/>
    <s v="Xiaomi Mi 11"/>
    <s v="Android"/>
    <n v="80"/>
    <x v="46"/>
    <n v="417"/>
    <n v="18"/>
    <n v="298"/>
    <x v="38"/>
    <x v="0"/>
    <n v="1"/>
    <x v="0"/>
  </r>
  <r>
    <n v="487"/>
    <s v="iPhone 12"/>
    <s v="iOS"/>
    <n v="131"/>
    <x v="68"/>
    <n v="739"/>
    <n v="34"/>
    <n v="330"/>
    <x v="8"/>
    <x v="1"/>
    <n v="2"/>
    <x v="0"/>
  </r>
  <r>
    <n v="488"/>
    <s v="iPhone 12"/>
    <s v="iOS"/>
    <n v="228"/>
    <x v="87"/>
    <n v="1734"/>
    <n v="46"/>
    <n v="804"/>
    <x v="8"/>
    <x v="1"/>
    <n v="3"/>
    <x v="0"/>
  </r>
  <r>
    <n v="489"/>
    <s v="Xiaomi Mi 11"/>
    <s v="Android"/>
    <n v="416"/>
    <x v="6"/>
    <n v="1882"/>
    <n v="62"/>
    <n v="1333"/>
    <x v="36"/>
    <x v="1"/>
    <n v="4"/>
    <x v="1"/>
  </r>
  <r>
    <n v="490"/>
    <s v="Google Pixel 5"/>
    <s v="Android"/>
    <n v="586"/>
    <x v="91"/>
    <n v="2403"/>
    <n v="94"/>
    <n v="2332"/>
    <x v="5"/>
    <x v="0"/>
    <n v="5"/>
    <x v="1"/>
  </r>
  <r>
    <n v="491"/>
    <s v="Google Pixel 5"/>
    <s v="Android"/>
    <n v="416"/>
    <x v="92"/>
    <n v="2279"/>
    <n v="71"/>
    <n v="1096"/>
    <x v="1"/>
    <x v="0"/>
    <n v="4"/>
    <x v="0"/>
  </r>
  <r>
    <n v="492"/>
    <s v="iPhone 12"/>
    <s v="iOS"/>
    <n v="152"/>
    <x v="35"/>
    <n v="948"/>
    <n v="22"/>
    <n v="507"/>
    <x v="30"/>
    <x v="1"/>
    <n v="2"/>
    <x v="0"/>
  </r>
  <r>
    <n v="493"/>
    <s v="Xiaomi Mi 11"/>
    <s v="Android"/>
    <n v="87"/>
    <x v="63"/>
    <n v="594"/>
    <n v="19"/>
    <n v="198"/>
    <x v="38"/>
    <x v="1"/>
    <n v="1"/>
    <x v="0"/>
  </r>
  <r>
    <n v="494"/>
    <s v="OnePlus 9"/>
    <s v="Android"/>
    <n v="329"/>
    <x v="26"/>
    <n v="1892"/>
    <n v="69"/>
    <n v="1383"/>
    <x v="16"/>
    <x v="0"/>
    <n v="4"/>
    <x v="1"/>
  </r>
  <r>
    <n v="495"/>
    <s v="Samsung Galaxy S21"/>
    <s v="Android"/>
    <n v="107"/>
    <x v="59"/>
    <n v="1176"/>
    <n v="24"/>
    <n v="545"/>
    <x v="14"/>
    <x v="1"/>
    <n v="2"/>
    <x v="1"/>
  </r>
  <r>
    <n v="496"/>
    <s v="Google Pixel 5"/>
    <s v="Android"/>
    <n v="493"/>
    <x v="37"/>
    <n v="2928"/>
    <n v="88"/>
    <n v="2116"/>
    <x v="8"/>
    <x v="0"/>
    <n v="5"/>
    <x v="0"/>
  </r>
  <r>
    <n v="497"/>
    <s v="iPhone 12"/>
    <s v="iOS"/>
    <n v="182"/>
    <x v="3"/>
    <n v="1500"/>
    <n v="51"/>
    <n v="807"/>
    <x v="9"/>
    <x v="1"/>
    <n v="3"/>
    <x v="0"/>
  </r>
  <r>
    <n v="498"/>
    <s v="iPhone 12"/>
    <s v="iOS"/>
    <n v="102"/>
    <x v="99"/>
    <n v="918"/>
    <n v="37"/>
    <n v="362"/>
    <x v="3"/>
    <x v="1"/>
    <n v="2"/>
    <x v="1"/>
  </r>
  <r>
    <n v="499"/>
    <s v="Google Pixel 5"/>
    <s v="Android"/>
    <n v="274"/>
    <x v="53"/>
    <n v="1356"/>
    <n v="54"/>
    <n v="869"/>
    <x v="30"/>
    <x v="0"/>
    <n v="3"/>
    <x v="0"/>
  </r>
  <r>
    <n v="500"/>
    <s v="iPhone 12"/>
    <s v="iOS"/>
    <n v="143"/>
    <x v="16"/>
    <n v="988"/>
    <n v="26"/>
    <n v="504"/>
    <x v="15"/>
    <x v="1"/>
    <n v="2"/>
    <x v="0"/>
  </r>
  <r>
    <n v="501"/>
    <s v="Google Pixel 5"/>
    <s v="Android"/>
    <n v="66"/>
    <x v="89"/>
    <n v="369"/>
    <n v="14"/>
    <n v="195"/>
    <x v="36"/>
    <x v="0"/>
    <n v="1"/>
    <x v="1"/>
  </r>
  <r>
    <n v="502"/>
    <s v="Xiaomi Mi 11"/>
    <s v="Android"/>
    <n v="420"/>
    <x v="8"/>
    <n v="2017"/>
    <n v="74"/>
    <n v="1187"/>
    <x v="7"/>
    <x v="1"/>
    <n v="4"/>
    <x v="1"/>
  </r>
  <r>
    <n v="503"/>
    <s v="Xiaomi Mi 11"/>
    <s v="Android"/>
    <n v="582"/>
    <x v="38"/>
    <n v="2664"/>
    <n v="91"/>
    <n v="2493"/>
    <x v="21"/>
    <x v="1"/>
    <n v="5"/>
    <x v="0"/>
  </r>
  <r>
    <n v="504"/>
    <s v="Google Pixel 5"/>
    <s v="Android"/>
    <n v="200"/>
    <x v="17"/>
    <n v="1291"/>
    <n v="50"/>
    <n v="965"/>
    <x v="19"/>
    <x v="0"/>
    <n v="3"/>
    <x v="0"/>
  </r>
  <r>
    <n v="505"/>
    <s v="Google Pixel 5"/>
    <s v="Android"/>
    <n v="493"/>
    <x v="18"/>
    <n v="2859"/>
    <n v="99"/>
    <n v="2450"/>
    <x v="1"/>
    <x v="0"/>
    <n v="5"/>
    <x v="0"/>
  </r>
  <r>
    <n v="506"/>
    <s v="Samsung Galaxy S21"/>
    <s v="Android"/>
    <n v="348"/>
    <x v="9"/>
    <n v="2398"/>
    <n v="66"/>
    <n v="1415"/>
    <x v="10"/>
    <x v="1"/>
    <n v="4"/>
    <x v="0"/>
  </r>
  <r>
    <n v="507"/>
    <s v="Xiaomi Mi 11"/>
    <s v="Android"/>
    <n v="238"/>
    <x v="70"/>
    <n v="1408"/>
    <n v="45"/>
    <n v="941"/>
    <x v="28"/>
    <x v="0"/>
    <n v="3"/>
    <x v="1"/>
  </r>
  <r>
    <n v="508"/>
    <s v="Xiaomi Mi 11"/>
    <s v="Android"/>
    <n v="33"/>
    <x v="5"/>
    <n v="318"/>
    <n v="11"/>
    <n v="173"/>
    <x v="2"/>
    <x v="1"/>
    <n v="1"/>
    <x v="0"/>
  </r>
  <r>
    <n v="509"/>
    <s v="Google Pixel 5"/>
    <s v="Android"/>
    <n v="267"/>
    <x v="42"/>
    <n v="1740"/>
    <n v="45"/>
    <n v="791"/>
    <x v="27"/>
    <x v="0"/>
    <n v="3"/>
    <x v="1"/>
  </r>
  <r>
    <n v="510"/>
    <s v="iPhone 12"/>
    <s v="iOS"/>
    <n v="492"/>
    <x v="74"/>
    <n v="2513"/>
    <n v="90"/>
    <n v="1968"/>
    <x v="4"/>
    <x v="0"/>
    <n v="5"/>
    <x v="1"/>
  </r>
  <r>
    <n v="511"/>
    <s v="Google Pixel 5"/>
    <s v="Android"/>
    <n v="241"/>
    <x v="82"/>
    <n v="1767"/>
    <n v="58"/>
    <n v="976"/>
    <x v="24"/>
    <x v="1"/>
    <n v="3"/>
    <x v="0"/>
  </r>
  <r>
    <n v="512"/>
    <s v="Samsung Galaxy S21"/>
    <s v="Android"/>
    <n v="567"/>
    <x v="77"/>
    <n v="2911"/>
    <n v="89"/>
    <n v="1682"/>
    <x v="11"/>
    <x v="0"/>
    <n v="5"/>
    <x v="0"/>
  </r>
  <r>
    <n v="513"/>
    <s v="Samsung Galaxy S21"/>
    <s v="Android"/>
    <n v="36"/>
    <x v="45"/>
    <n v="442"/>
    <n v="17"/>
    <n v="249"/>
    <x v="6"/>
    <x v="0"/>
    <n v="1"/>
    <x v="1"/>
  </r>
  <r>
    <n v="514"/>
    <s v="OnePlus 9"/>
    <s v="Android"/>
    <n v="110"/>
    <x v="23"/>
    <n v="975"/>
    <n v="31"/>
    <n v="507"/>
    <x v="8"/>
    <x v="1"/>
    <n v="2"/>
    <x v="0"/>
  </r>
  <r>
    <n v="515"/>
    <s v="Samsung Galaxy S21"/>
    <s v="Android"/>
    <n v="466"/>
    <x v="48"/>
    <n v="1984"/>
    <n v="73"/>
    <n v="1461"/>
    <x v="29"/>
    <x v="0"/>
    <n v="4"/>
    <x v="0"/>
  </r>
  <r>
    <n v="516"/>
    <s v="OnePlus 9"/>
    <s v="Android"/>
    <n v="126"/>
    <x v="44"/>
    <n v="1187"/>
    <n v="28"/>
    <n v="599"/>
    <x v="23"/>
    <x v="0"/>
    <n v="2"/>
    <x v="1"/>
  </r>
  <r>
    <n v="517"/>
    <s v="Xiaomi Mi 11"/>
    <s v="Android"/>
    <n v="120"/>
    <x v="68"/>
    <n v="940"/>
    <n v="36"/>
    <n v="535"/>
    <x v="12"/>
    <x v="0"/>
    <n v="2"/>
    <x v="0"/>
  </r>
  <r>
    <n v="518"/>
    <s v="iPhone 12"/>
    <s v="iOS"/>
    <n v="64"/>
    <x v="30"/>
    <n v="592"/>
    <n v="19"/>
    <n v="218"/>
    <x v="23"/>
    <x v="0"/>
    <n v="1"/>
    <x v="1"/>
  </r>
  <r>
    <n v="519"/>
    <s v="OnePlus 9"/>
    <s v="Android"/>
    <n v="574"/>
    <x v="18"/>
    <n v="2780"/>
    <n v="87"/>
    <n v="1809"/>
    <x v="6"/>
    <x v="1"/>
    <n v="5"/>
    <x v="1"/>
  </r>
  <r>
    <n v="520"/>
    <s v="OnePlus 9"/>
    <s v="Android"/>
    <n v="119"/>
    <x v="44"/>
    <n v="1123"/>
    <n v="22"/>
    <n v="371"/>
    <x v="34"/>
    <x v="0"/>
    <n v="2"/>
    <x v="0"/>
  </r>
  <r>
    <n v="521"/>
    <s v="OnePlus 9"/>
    <s v="Android"/>
    <n v="350"/>
    <x v="21"/>
    <n v="2364"/>
    <n v="75"/>
    <n v="1485"/>
    <x v="3"/>
    <x v="0"/>
    <n v="4"/>
    <x v="1"/>
  </r>
  <r>
    <n v="522"/>
    <s v="Google Pixel 5"/>
    <s v="Android"/>
    <n v="69"/>
    <x v="46"/>
    <n v="535"/>
    <n v="17"/>
    <n v="250"/>
    <x v="23"/>
    <x v="0"/>
    <n v="1"/>
    <x v="1"/>
  </r>
  <r>
    <n v="523"/>
    <s v="Xiaomi Mi 11"/>
    <s v="Android"/>
    <n v="438"/>
    <x v="21"/>
    <n v="1849"/>
    <n v="64"/>
    <n v="1125"/>
    <x v="10"/>
    <x v="1"/>
    <n v="4"/>
    <x v="0"/>
  </r>
  <r>
    <n v="524"/>
    <s v="Samsung Galaxy S21"/>
    <s v="Android"/>
    <n v="506"/>
    <x v="32"/>
    <n v="2623"/>
    <n v="98"/>
    <n v="2460"/>
    <x v="40"/>
    <x v="0"/>
    <n v="5"/>
    <x v="0"/>
  </r>
  <r>
    <n v="525"/>
    <s v="Samsung Galaxy S21"/>
    <s v="Android"/>
    <n v="272"/>
    <x v="73"/>
    <n v="1390"/>
    <n v="45"/>
    <n v="792"/>
    <x v="8"/>
    <x v="1"/>
    <n v="3"/>
    <x v="0"/>
  </r>
  <r>
    <n v="526"/>
    <s v="Samsung Galaxy S21"/>
    <s v="Android"/>
    <n v="224"/>
    <x v="53"/>
    <n v="1646"/>
    <n v="57"/>
    <n v="665"/>
    <x v="39"/>
    <x v="0"/>
    <n v="3"/>
    <x v="0"/>
  </r>
  <r>
    <n v="527"/>
    <s v="Google Pixel 5"/>
    <s v="Android"/>
    <n v="99"/>
    <x v="36"/>
    <n v="689"/>
    <n v="36"/>
    <n v="318"/>
    <x v="14"/>
    <x v="1"/>
    <n v="2"/>
    <x v="1"/>
  </r>
  <r>
    <n v="528"/>
    <s v="iPhone 12"/>
    <s v="iOS"/>
    <n v="44"/>
    <x v="30"/>
    <n v="466"/>
    <n v="10"/>
    <n v="131"/>
    <x v="8"/>
    <x v="1"/>
    <n v="1"/>
    <x v="0"/>
  </r>
  <r>
    <n v="529"/>
    <s v="Google Pixel 5"/>
    <s v="Android"/>
    <n v="175"/>
    <x v="100"/>
    <n v="801"/>
    <n v="32"/>
    <n v="338"/>
    <x v="7"/>
    <x v="0"/>
    <n v="2"/>
    <x v="1"/>
  </r>
  <r>
    <n v="530"/>
    <s v="Google Pixel 5"/>
    <s v="Android"/>
    <n v="228"/>
    <x v="3"/>
    <n v="1639"/>
    <n v="47"/>
    <n v="796"/>
    <x v="2"/>
    <x v="1"/>
    <n v="3"/>
    <x v="0"/>
  </r>
  <r>
    <n v="531"/>
    <s v="Xiaomi Mi 11"/>
    <s v="Android"/>
    <n v="589"/>
    <x v="76"/>
    <n v="2629"/>
    <n v="86"/>
    <n v="2479"/>
    <x v="9"/>
    <x v="1"/>
    <n v="5"/>
    <x v="0"/>
  </r>
  <r>
    <n v="532"/>
    <s v="OnePlus 9"/>
    <s v="Android"/>
    <n v="339"/>
    <x v="72"/>
    <n v="1987"/>
    <n v="66"/>
    <n v="1191"/>
    <x v="1"/>
    <x v="0"/>
    <n v="4"/>
    <x v="0"/>
  </r>
  <r>
    <n v="533"/>
    <s v="iPhone 12"/>
    <s v="iOS"/>
    <n v="431"/>
    <x v="0"/>
    <n v="2206"/>
    <n v="66"/>
    <n v="1200"/>
    <x v="16"/>
    <x v="1"/>
    <n v="4"/>
    <x v="1"/>
  </r>
  <r>
    <n v="534"/>
    <s v="Xiaomi Mi 11"/>
    <s v="Android"/>
    <n v="190"/>
    <x v="1"/>
    <n v="1276"/>
    <n v="57"/>
    <n v="915"/>
    <x v="27"/>
    <x v="1"/>
    <n v="3"/>
    <x v="1"/>
  </r>
  <r>
    <n v="535"/>
    <s v="OnePlus 9"/>
    <s v="Android"/>
    <n v="389"/>
    <x v="92"/>
    <n v="2087"/>
    <n v="67"/>
    <n v="1383"/>
    <x v="31"/>
    <x v="0"/>
    <n v="4"/>
    <x v="1"/>
  </r>
  <r>
    <n v="536"/>
    <s v="Samsung Galaxy S21"/>
    <s v="Android"/>
    <n v="139"/>
    <x v="31"/>
    <n v="937"/>
    <n v="24"/>
    <n v="573"/>
    <x v="23"/>
    <x v="1"/>
    <n v="2"/>
    <x v="1"/>
  </r>
  <r>
    <n v="537"/>
    <s v="Samsung Galaxy S21"/>
    <s v="Android"/>
    <n v="289"/>
    <x v="42"/>
    <n v="1528"/>
    <n v="48"/>
    <n v="915"/>
    <x v="31"/>
    <x v="0"/>
    <n v="3"/>
    <x v="1"/>
  </r>
  <r>
    <n v="538"/>
    <s v="Samsung Galaxy S21"/>
    <s v="Android"/>
    <n v="593"/>
    <x v="81"/>
    <n v="2672"/>
    <n v="82"/>
    <n v="2258"/>
    <x v="6"/>
    <x v="1"/>
    <n v="5"/>
    <x v="1"/>
  </r>
  <r>
    <n v="539"/>
    <s v="Google Pixel 5"/>
    <s v="Android"/>
    <n v="576"/>
    <x v="65"/>
    <n v="2638"/>
    <n v="98"/>
    <n v="2281"/>
    <x v="24"/>
    <x v="1"/>
    <n v="5"/>
    <x v="0"/>
  </r>
  <r>
    <n v="540"/>
    <s v="OnePlus 9"/>
    <s v="Android"/>
    <n v="592"/>
    <x v="83"/>
    <n v="2867"/>
    <n v="95"/>
    <n v="1701"/>
    <x v="28"/>
    <x v="1"/>
    <n v="5"/>
    <x v="1"/>
  </r>
  <r>
    <n v="541"/>
    <s v="iPhone 12"/>
    <s v="iOS"/>
    <n v="567"/>
    <x v="25"/>
    <n v="2817"/>
    <n v="89"/>
    <n v="2194"/>
    <x v="19"/>
    <x v="0"/>
    <n v="5"/>
    <x v="0"/>
  </r>
  <r>
    <n v="542"/>
    <s v="iPhone 12"/>
    <s v="iOS"/>
    <n v="170"/>
    <x v="59"/>
    <n v="740"/>
    <n v="21"/>
    <n v="537"/>
    <x v="23"/>
    <x v="1"/>
    <n v="2"/>
    <x v="1"/>
  </r>
  <r>
    <n v="543"/>
    <s v="Google Pixel 5"/>
    <s v="Android"/>
    <n v="242"/>
    <x v="14"/>
    <n v="1307"/>
    <n v="48"/>
    <n v="642"/>
    <x v="32"/>
    <x v="0"/>
    <n v="3"/>
    <x v="1"/>
  </r>
  <r>
    <n v="544"/>
    <s v="Samsung Galaxy S21"/>
    <s v="Android"/>
    <n v="275"/>
    <x v="11"/>
    <n v="1616"/>
    <n v="48"/>
    <n v="656"/>
    <x v="21"/>
    <x v="0"/>
    <n v="3"/>
    <x v="0"/>
  </r>
  <r>
    <n v="545"/>
    <s v="Google Pixel 5"/>
    <s v="Android"/>
    <n v="544"/>
    <x v="80"/>
    <n v="2633"/>
    <n v="97"/>
    <n v="1727"/>
    <x v="32"/>
    <x v="1"/>
    <n v="5"/>
    <x v="1"/>
  </r>
  <r>
    <n v="546"/>
    <s v="OnePlus 9"/>
    <s v="Android"/>
    <n v="50"/>
    <x v="5"/>
    <n v="362"/>
    <n v="17"/>
    <n v="182"/>
    <x v="6"/>
    <x v="1"/>
    <n v="1"/>
    <x v="1"/>
  </r>
  <r>
    <n v="547"/>
    <s v="OnePlus 9"/>
    <s v="Android"/>
    <n v="236"/>
    <x v="28"/>
    <n v="1750"/>
    <n v="45"/>
    <n v="971"/>
    <x v="5"/>
    <x v="1"/>
    <n v="3"/>
    <x v="1"/>
  </r>
  <r>
    <n v="548"/>
    <s v="iPhone 12"/>
    <s v="iOS"/>
    <n v="139"/>
    <x v="19"/>
    <n v="658"/>
    <n v="33"/>
    <n v="358"/>
    <x v="18"/>
    <x v="1"/>
    <n v="2"/>
    <x v="0"/>
  </r>
  <r>
    <n v="549"/>
    <s v="Google Pixel 5"/>
    <s v="Android"/>
    <n v="383"/>
    <x v="9"/>
    <n v="2155"/>
    <n v="74"/>
    <n v="1360"/>
    <x v="15"/>
    <x v="0"/>
    <n v="4"/>
    <x v="0"/>
  </r>
  <r>
    <n v="550"/>
    <s v="Samsung Galaxy S21"/>
    <s v="Android"/>
    <n v="172"/>
    <x v="2"/>
    <n v="1047"/>
    <n v="32"/>
    <n v="508"/>
    <x v="5"/>
    <x v="1"/>
    <n v="2"/>
    <x v="1"/>
  </r>
  <r>
    <n v="551"/>
    <s v="Xiaomi Mi 11"/>
    <s v="Android"/>
    <n v="455"/>
    <x v="12"/>
    <n v="1984"/>
    <n v="72"/>
    <n v="1287"/>
    <x v="2"/>
    <x v="0"/>
    <n v="4"/>
    <x v="0"/>
  </r>
  <r>
    <n v="552"/>
    <s v="Samsung Galaxy S21"/>
    <s v="Android"/>
    <n v="157"/>
    <x v="59"/>
    <n v="1110"/>
    <n v="30"/>
    <n v="373"/>
    <x v="17"/>
    <x v="1"/>
    <n v="2"/>
    <x v="0"/>
  </r>
  <r>
    <n v="553"/>
    <s v="iPhone 12"/>
    <s v="iOS"/>
    <n v="173"/>
    <x v="68"/>
    <n v="605"/>
    <n v="23"/>
    <n v="583"/>
    <x v="36"/>
    <x v="0"/>
    <n v="2"/>
    <x v="1"/>
  </r>
  <r>
    <n v="554"/>
    <s v="Samsung Galaxy S21"/>
    <s v="Android"/>
    <n v="405"/>
    <x v="6"/>
    <n v="2082"/>
    <n v="75"/>
    <n v="1162"/>
    <x v="17"/>
    <x v="1"/>
    <n v="4"/>
    <x v="0"/>
  </r>
  <r>
    <n v="555"/>
    <s v="iPhone 12"/>
    <s v="iOS"/>
    <n v="387"/>
    <x v="9"/>
    <n v="2168"/>
    <n v="61"/>
    <n v="1246"/>
    <x v="22"/>
    <x v="1"/>
    <n v="4"/>
    <x v="1"/>
  </r>
  <r>
    <n v="556"/>
    <s v="Xiaomi Mi 11"/>
    <s v="Android"/>
    <n v="201"/>
    <x v="13"/>
    <n v="1633"/>
    <n v="41"/>
    <n v="972"/>
    <x v="36"/>
    <x v="1"/>
    <n v="3"/>
    <x v="1"/>
  </r>
  <r>
    <n v="557"/>
    <s v="iPhone 12"/>
    <s v="iOS"/>
    <n v="142"/>
    <x v="97"/>
    <n v="625"/>
    <n v="25"/>
    <n v="370"/>
    <x v="0"/>
    <x v="1"/>
    <n v="2"/>
    <x v="0"/>
  </r>
  <r>
    <n v="558"/>
    <s v="Samsung Galaxy S21"/>
    <s v="Android"/>
    <n v="198"/>
    <x v="67"/>
    <n v="1392"/>
    <n v="43"/>
    <n v="640"/>
    <x v="28"/>
    <x v="0"/>
    <n v="3"/>
    <x v="1"/>
  </r>
  <r>
    <n v="559"/>
    <s v="Google Pixel 5"/>
    <s v="Android"/>
    <n v="361"/>
    <x v="24"/>
    <n v="2037"/>
    <n v="65"/>
    <n v="1056"/>
    <x v="21"/>
    <x v="0"/>
    <n v="4"/>
    <x v="0"/>
  </r>
  <r>
    <n v="560"/>
    <s v="OnePlus 9"/>
    <s v="Android"/>
    <n v="553"/>
    <x v="20"/>
    <n v="2914"/>
    <n v="81"/>
    <n v="1860"/>
    <x v="1"/>
    <x v="0"/>
    <n v="5"/>
    <x v="0"/>
  </r>
  <r>
    <n v="561"/>
    <s v="Samsung Galaxy S21"/>
    <s v="Android"/>
    <n v="408"/>
    <x v="12"/>
    <n v="2245"/>
    <n v="69"/>
    <n v="1103"/>
    <x v="24"/>
    <x v="1"/>
    <n v="4"/>
    <x v="0"/>
  </r>
  <r>
    <n v="562"/>
    <s v="Xiaomi Mi 11"/>
    <s v="Android"/>
    <n v="121"/>
    <x v="34"/>
    <n v="1188"/>
    <n v="21"/>
    <n v="578"/>
    <x v="26"/>
    <x v="0"/>
    <n v="2"/>
    <x v="0"/>
  </r>
  <r>
    <n v="563"/>
    <s v="Google Pixel 5"/>
    <s v="Android"/>
    <n v="71"/>
    <x v="10"/>
    <n v="508"/>
    <n v="15"/>
    <n v="265"/>
    <x v="20"/>
    <x v="1"/>
    <n v="1"/>
    <x v="1"/>
  </r>
  <r>
    <n v="564"/>
    <s v="iPhone 12"/>
    <s v="iOS"/>
    <n v="46"/>
    <x v="45"/>
    <n v="440"/>
    <n v="10"/>
    <n v="265"/>
    <x v="4"/>
    <x v="0"/>
    <n v="1"/>
    <x v="1"/>
  </r>
  <r>
    <n v="565"/>
    <s v="Xiaomi Mi 11"/>
    <s v="Android"/>
    <n v="290"/>
    <x v="87"/>
    <n v="1272"/>
    <n v="55"/>
    <n v="910"/>
    <x v="12"/>
    <x v="0"/>
    <n v="3"/>
    <x v="0"/>
  </r>
  <r>
    <n v="566"/>
    <s v="Samsung Galaxy S21"/>
    <s v="Android"/>
    <n v="60"/>
    <x v="89"/>
    <n v="462"/>
    <n v="15"/>
    <n v="296"/>
    <x v="0"/>
    <x v="0"/>
    <n v="1"/>
    <x v="0"/>
  </r>
  <r>
    <n v="567"/>
    <s v="Google Pixel 5"/>
    <s v="Android"/>
    <n v="116"/>
    <x v="104"/>
    <n v="1132"/>
    <n v="26"/>
    <n v="498"/>
    <x v="37"/>
    <x v="1"/>
    <n v="2"/>
    <x v="0"/>
  </r>
  <r>
    <n v="568"/>
    <s v="OnePlus 9"/>
    <s v="Android"/>
    <n v="86"/>
    <x v="54"/>
    <n v="312"/>
    <n v="16"/>
    <n v="227"/>
    <x v="36"/>
    <x v="0"/>
    <n v="1"/>
    <x v="1"/>
  </r>
  <r>
    <n v="569"/>
    <s v="Google Pixel 5"/>
    <s v="Android"/>
    <n v="291"/>
    <x v="82"/>
    <n v="1537"/>
    <n v="43"/>
    <n v="700"/>
    <x v="10"/>
    <x v="1"/>
    <n v="3"/>
    <x v="0"/>
  </r>
  <r>
    <n v="570"/>
    <s v="Google Pixel 5"/>
    <s v="Android"/>
    <n v="404"/>
    <x v="9"/>
    <n v="2181"/>
    <n v="77"/>
    <n v="1327"/>
    <x v="26"/>
    <x v="0"/>
    <n v="4"/>
    <x v="0"/>
  </r>
  <r>
    <n v="571"/>
    <s v="OnePlus 9"/>
    <s v="Android"/>
    <n v="441"/>
    <x v="48"/>
    <n v="1928"/>
    <n v="74"/>
    <n v="1421"/>
    <x v="8"/>
    <x v="0"/>
    <n v="4"/>
    <x v="0"/>
  </r>
  <r>
    <n v="572"/>
    <s v="Google Pixel 5"/>
    <s v="Android"/>
    <n v="444"/>
    <x v="92"/>
    <n v="2229"/>
    <n v="73"/>
    <n v="1194"/>
    <x v="23"/>
    <x v="1"/>
    <n v="4"/>
    <x v="1"/>
  </r>
  <r>
    <n v="573"/>
    <s v="OnePlus 9"/>
    <s v="Android"/>
    <n v="211"/>
    <x v="42"/>
    <n v="1757"/>
    <n v="42"/>
    <n v="864"/>
    <x v="25"/>
    <x v="1"/>
    <n v="3"/>
    <x v="0"/>
  </r>
  <r>
    <n v="574"/>
    <s v="Samsung Galaxy S21"/>
    <s v="Android"/>
    <n v="537"/>
    <x v="106"/>
    <n v="2858"/>
    <n v="86"/>
    <n v="2158"/>
    <x v="27"/>
    <x v="0"/>
    <n v="5"/>
    <x v="1"/>
  </r>
  <r>
    <n v="575"/>
    <s v="Xiaomi Mi 11"/>
    <s v="Android"/>
    <n v="519"/>
    <x v="37"/>
    <n v="2571"/>
    <n v="93"/>
    <n v="2163"/>
    <x v="1"/>
    <x v="1"/>
    <n v="5"/>
    <x v="0"/>
  </r>
  <r>
    <n v="576"/>
    <s v="Samsung Galaxy S21"/>
    <s v="Android"/>
    <n v="94"/>
    <x v="97"/>
    <n v="606"/>
    <n v="30"/>
    <n v="446"/>
    <x v="10"/>
    <x v="0"/>
    <n v="2"/>
    <x v="0"/>
  </r>
  <r>
    <n v="577"/>
    <s v="Google Pixel 5"/>
    <s v="Android"/>
    <n v="554"/>
    <x v="103"/>
    <n v="2776"/>
    <n v="83"/>
    <n v="1606"/>
    <x v="6"/>
    <x v="1"/>
    <n v="5"/>
    <x v="1"/>
  </r>
  <r>
    <n v="578"/>
    <s v="iPhone 12"/>
    <s v="iOS"/>
    <n v="381"/>
    <x v="50"/>
    <n v="2216"/>
    <n v="66"/>
    <n v="1291"/>
    <x v="17"/>
    <x v="1"/>
    <n v="4"/>
    <x v="0"/>
  </r>
  <r>
    <n v="579"/>
    <s v="OnePlus 9"/>
    <s v="Android"/>
    <n v="257"/>
    <x v="27"/>
    <n v="1715"/>
    <n v="49"/>
    <n v="916"/>
    <x v="0"/>
    <x v="1"/>
    <n v="3"/>
    <x v="0"/>
  </r>
  <r>
    <n v="580"/>
    <s v="Samsung Galaxy S21"/>
    <s v="Android"/>
    <n v="47"/>
    <x v="46"/>
    <n v="532"/>
    <n v="18"/>
    <n v="122"/>
    <x v="38"/>
    <x v="0"/>
    <n v="1"/>
    <x v="0"/>
  </r>
  <r>
    <n v="581"/>
    <s v="iPhone 12"/>
    <s v="iOS"/>
    <n v="527"/>
    <x v="74"/>
    <n v="2430"/>
    <n v="82"/>
    <n v="1737"/>
    <x v="28"/>
    <x v="1"/>
    <n v="5"/>
    <x v="1"/>
  </r>
  <r>
    <n v="582"/>
    <s v="Samsung Galaxy S21"/>
    <s v="Android"/>
    <n v="148"/>
    <x v="43"/>
    <n v="625"/>
    <n v="34"/>
    <n v="416"/>
    <x v="28"/>
    <x v="0"/>
    <n v="2"/>
    <x v="1"/>
  </r>
  <r>
    <n v="583"/>
    <s v="iPhone 12"/>
    <s v="iOS"/>
    <n v="191"/>
    <x v="58"/>
    <n v="1414"/>
    <n v="53"/>
    <n v="991"/>
    <x v="22"/>
    <x v="1"/>
    <n v="3"/>
    <x v="1"/>
  </r>
  <r>
    <n v="584"/>
    <s v="Google Pixel 5"/>
    <s v="Android"/>
    <n v="71"/>
    <x v="51"/>
    <n v="571"/>
    <n v="10"/>
    <n v="117"/>
    <x v="9"/>
    <x v="1"/>
    <n v="1"/>
    <x v="0"/>
  </r>
  <r>
    <n v="585"/>
    <s v="OnePlus 9"/>
    <s v="Android"/>
    <n v="73"/>
    <x v="89"/>
    <n v="538"/>
    <n v="19"/>
    <n v="175"/>
    <x v="31"/>
    <x v="1"/>
    <n v="1"/>
    <x v="1"/>
  </r>
  <r>
    <n v="586"/>
    <s v="OnePlus 9"/>
    <s v="Android"/>
    <n v="149"/>
    <x v="90"/>
    <n v="1191"/>
    <n v="28"/>
    <n v="563"/>
    <x v="14"/>
    <x v="0"/>
    <n v="2"/>
    <x v="1"/>
  </r>
  <r>
    <n v="587"/>
    <s v="Xiaomi Mi 11"/>
    <s v="Android"/>
    <n v="197"/>
    <x v="87"/>
    <n v="1665"/>
    <n v="44"/>
    <n v="608"/>
    <x v="9"/>
    <x v="1"/>
    <n v="3"/>
    <x v="0"/>
  </r>
  <r>
    <n v="588"/>
    <s v="Samsung Galaxy S21"/>
    <s v="Android"/>
    <n v="328"/>
    <x v="92"/>
    <n v="1975"/>
    <n v="72"/>
    <n v="1101"/>
    <x v="7"/>
    <x v="0"/>
    <n v="4"/>
    <x v="1"/>
  </r>
  <r>
    <n v="589"/>
    <s v="OnePlus 9"/>
    <s v="Android"/>
    <n v="424"/>
    <x v="50"/>
    <n v="1995"/>
    <n v="75"/>
    <n v="1228"/>
    <x v="38"/>
    <x v="0"/>
    <n v="4"/>
    <x v="0"/>
  </r>
  <r>
    <n v="590"/>
    <s v="Samsung Galaxy S21"/>
    <s v="Android"/>
    <n v="111"/>
    <x v="16"/>
    <n v="627"/>
    <n v="26"/>
    <n v="464"/>
    <x v="11"/>
    <x v="1"/>
    <n v="2"/>
    <x v="0"/>
  </r>
  <r>
    <n v="591"/>
    <s v="Samsung Galaxy S21"/>
    <s v="Android"/>
    <n v="159"/>
    <x v="35"/>
    <n v="630"/>
    <n v="33"/>
    <n v="575"/>
    <x v="31"/>
    <x v="0"/>
    <n v="2"/>
    <x v="1"/>
  </r>
  <r>
    <n v="592"/>
    <s v="Google Pixel 5"/>
    <s v="Android"/>
    <n v="580"/>
    <x v="52"/>
    <n v="2767"/>
    <n v="84"/>
    <n v="2341"/>
    <x v="38"/>
    <x v="1"/>
    <n v="5"/>
    <x v="0"/>
  </r>
  <r>
    <n v="593"/>
    <s v="Samsung Galaxy S21"/>
    <s v="Android"/>
    <n v="379"/>
    <x v="8"/>
    <n v="1809"/>
    <n v="64"/>
    <n v="1050"/>
    <x v="27"/>
    <x v="1"/>
    <n v="4"/>
    <x v="1"/>
  </r>
  <r>
    <n v="594"/>
    <s v="Samsung Galaxy S21"/>
    <s v="Android"/>
    <n v="217"/>
    <x v="67"/>
    <n v="1500"/>
    <n v="42"/>
    <n v="677"/>
    <x v="13"/>
    <x v="1"/>
    <n v="3"/>
    <x v="1"/>
  </r>
  <r>
    <n v="595"/>
    <s v="Xiaomi Mi 11"/>
    <s v="Android"/>
    <n v="447"/>
    <x v="57"/>
    <n v="1959"/>
    <n v="63"/>
    <n v="1441"/>
    <x v="40"/>
    <x v="0"/>
    <n v="4"/>
    <x v="0"/>
  </r>
  <r>
    <n v="596"/>
    <s v="OnePlus 9"/>
    <s v="Android"/>
    <n v="512"/>
    <x v="25"/>
    <n v="2538"/>
    <n v="82"/>
    <n v="1694"/>
    <x v="35"/>
    <x v="0"/>
    <n v="5"/>
    <x v="0"/>
  </r>
  <r>
    <n v="597"/>
    <s v="Xiaomi Mi 11"/>
    <s v="Android"/>
    <n v="511"/>
    <x v="77"/>
    <n v="2529"/>
    <n v="91"/>
    <n v="2387"/>
    <x v="5"/>
    <x v="0"/>
    <n v="5"/>
    <x v="1"/>
  </r>
  <r>
    <n v="598"/>
    <s v="OnePlus 9"/>
    <s v="Android"/>
    <n v="140"/>
    <x v="59"/>
    <n v="825"/>
    <n v="31"/>
    <n v="347"/>
    <x v="39"/>
    <x v="0"/>
    <n v="2"/>
    <x v="0"/>
  </r>
  <r>
    <n v="599"/>
    <s v="Samsung Galaxy S21"/>
    <s v="Android"/>
    <n v="114"/>
    <x v="100"/>
    <n v="1131"/>
    <n v="31"/>
    <n v="596"/>
    <x v="32"/>
    <x v="0"/>
    <n v="2"/>
    <x v="1"/>
  </r>
  <r>
    <n v="600"/>
    <s v="Samsung Galaxy S21"/>
    <s v="Android"/>
    <n v="192"/>
    <x v="4"/>
    <n v="1382"/>
    <n v="42"/>
    <n v="905"/>
    <x v="1"/>
    <x v="1"/>
    <n v="3"/>
    <x v="0"/>
  </r>
  <r>
    <n v="601"/>
    <s v="iPhone 12"/>
    <s v="iOS"/>
    <n v="325"/>
    <x v="27"/>
    <n v="2244"/>
    <n v="70"/>
    <n v="1296"/>
    <x v="31"/>
    <x v="1"/>
    <n v="4"/>
    <x v="1"/>
  </r>
  <r>
    <n v="602"/>
    <s v="OnePlus 9"/>
    <s v="Android"/>
    <n v="83"/>
    <x v="30"/>
    <n v="545"/>
    <n v="15"/>
    <n v="284"/>
    <x v="12"/>
    <x v="0"/>
    <n v="1"/>
    <x v="0"/>
  </r>
  <r>
    <n v="603"/>
    <s v="OnePlus 9"/>
    <s v="Android"/>
    <n v="122"/>
    <x v="100"/>
    <n v="922"/>
    <n v="32"/>
    <n v="373"/>
    <x v="9"/>
    <x v="0"/>
    <n v="2"/>
    <x v="0"/>
  </r>
  <r>
    <n v="604"/>
    <s v="OnePlus 9"/>
    <s v="Android"/>
    <n v="138"/>
    <x v="34"/>
    <n v="660"/>
    <n v="22"/>
    <n v="424"/>
    <x v="35"/>
    <x v="1"/>
    <n v="2"/>
    <x v="0"/>
  </r>
  <r>
    <n v="605"/>
    <s v="OnePlus 9"/>
    <s v="Android"/>
    <n v="182"/>
    <x v="82"/>
    <n v="1278"/>
    <n v="42"/>
    <n v="885"/>
    <x v="29"/>
    <x v="1"/>
    <n v="3"/>
    <x v="0"/>
  </r>
  <r>
    <n v="606"/>
    <s v="OnePlus 9"/>
    <s v="Android"/>
    <n v="425"/>
    <x v="27"/>
    <n v="1928"/>
    <n v="72"/>
    <n v="1150"/>
    <x v="30"/>
    <x v="1"/>
    <n v="4"/>
    <x v="0"/>
  </r>
  <r>
    <n v="607"/>
    <s v="OnePlus 9"/>
    <s v="Android"/>
    <n v="580"/>
    <x v="15"/>
    <n v="2496"/>
    <n v="81"/>
    <n v="2441"/>
    <x v="17"/>
    <x v="1"/>
    <n v="5"/>
    <x v="0"/>
  </r>
  <r>
    <n v="608"/>
    <s v="Xiaomi Mi 11"/>
    <s v="Android"/>
    <n v="203"/>
    <x v="2"/>
    <n v="1323"/>
    <n v="56"/>
    <n v="787"/>
    <x v="5"/>
    <x v="0"/>
    <n v="3"/>
    <x v="1"/>
  </r>
  <r>
    <n v="609"/>
    <s v="Xiaomi Mi 11"/>
    <s v="Android"/>
    <n v="258"/>
    <x v="13"/>
    <n v="1596"/>
    <n v="56"/>
    <n v="937"/>
    <x v="0"/>
    <x v="1"/>
    <n v="3"/>
    <x v="0"/>
  </r>
  <r>
    <n v="610"/>
    <s v="iPhone 12"/>
    <s v="iOS"/>
    <n v="551"/>
    <x v="18"/>
    <n v="2927"/>
    <n v="92"/>
    <n v="1901"/>
    <x v="34"/>
    <x v="0"/>
    <n v="5"/>
    <x v="0"/>
  </r>
  <r>
    <n v="611"/>
    <s v="iPhone 12"/>
    <s v="iOS"/>
    <n v="507"/>
    <x v="94"/>
    <n v="2606"/>
    <n v="95"/>
    <n v="1543"/>
    <x v="40"/>
    <x v="0"/>
    <n v="5"/>
    <x v="0"/>
  </r>
  <r>
    <n v="612"/>
    <s v="Xiaomi Mi 11"/>
    <s v="Android"/>
    <n v="57"/>
    <x v="89"/>
    <n v="489"/>
    <n v="16"/>
    <n v="131"/>
    <x v="17"/>
    <x v="0"/>
    <n v="1"/>
    <x v="0"/>
  </r>
  <r>
    <n v="613"/>
    <s v="Xiaomi Mi 11"/>
    <s v="Android"/>
    <n v="553"/>
    <x v="29"/>
    <n v="2911"/>
    <n v="82"/>
    <n v="2441"/>
    <x v="12"/>
    <x v="0"/>
    <n v="5"/>
    <x v="0"/>
  </r>
  <r>
    <n v="614"/>
    <s v="Google Pixel 5"/>
    <s v="Android"/>
    <n v="49"/>
    <x v="46"/>
    <n v="395"/>
    <n v="16"/>
    <n v="153"/>
    <x v="41"/>
    <x v="1"/>
    <n v="1"/>
    <x v="0"/>
  </r>
  <r>
    <n v="615"/>
    <s v="Samsung Galaxy S21"/>
    <s v="Android"/>
    <n v="106"/>
    <x v="2"/>
    <n v="1158"/>
    <n v="23"/>
    <n v="493"/>
    <x v="26"/>
    <x v="0"/>
    <n v="2"/>
    <x v="0"/>
  </r>
  <r>
    <n v="616"/>
    <s v="Google Pixel 5"/>
    <s v="Android"/>
    <n v="119"/>
    <x v="35"/>
    <n v="608"/>
    <n v="36"/>
    <n v="461"/>
    <x v="19"/>
    <x v="0"/>
    <n v="2"/>
    <x v="0"/>
  </r>
  <r>
    <n v="617"/>
    <s v="OnePlus 9"/>
    <s v="Android"/>
    <n v="288"/>
    <x v="14"/>
    <n v="1476"/>
    <n v="49"/>
    <n v="767"/>
    <x v="38"/>
    <x v="1"/>
    <n v="3"/>
    <x v="0"/>
  </r>
  <r>
    <n v="618"/>
    <s v="Google Pixel 5"/>
    <s v="Android"/>
    <n v="225"/>
    <x v="22"/>
    <n v="1388"/>
    <n v="55"/>
    <n v="965"/>
    <x v="38"/>
    <x v="1"/>
    <n v="3"/>
    <x v="0"/>
  </r>
  <r>
    <n v="619"/>
    <s v="OnePlus 9"/>
    <s v="Android"/>
    <n v="342"/>
    <x v="47"/>
    <n v="1826"/>
    <n v="71"/>
    <n v="1077"/>
    <x v="13"/>
    <x v="1"/>
    <n v="4"/>
    <x v="1"/>
  </r>
  <r>
    <n v="620"/>
    <s v="Samsung Galaxy S21"/>
    <s v="Android"/>
    <n v="292"/>
    <x v="67"/>
    <n v="1407"/>
    <n v="54"/>
    <n v="867"/>
    <x v="39"/>
    <x v="0"/>
    <n v="3"/>
    <x v="0"/>
  </r>
  <r>
    <n v="621"/>
    <s v="iPhone 12"/>
    <s v="iOS"/>
    <n v="218"/>
    <x v="98"/>
    <n v="1475"/>
    <n v="46"/>
    <n v="972"/>
    <x v="39"/>
    <x v="1"/>
    <n v="3"/>
    <x v="0"/>
  </r>
  <r>
    <n v="622"/>
    <s v="Google Pixel 5"/>
    <s v="Android"/>
    <n v="64"/>
    <x v="60"/>
    <n v="351"/>
    <n v="15"/>
    <n v="274"/>
    <x v="25"/>
    <x v="0"/>
    <n v="1"/>
    <x v="0"/>
  </r>
  <r>
    <n v="623"/>
    <s v="Xiaomi Mi 11"/>
    <s v="Android"/>
    <n v="453"/>
    <x v="41"/>
    <n v="2363"/>
    <n v="65"/>
    <n v="1046"/>
    <x v="35"/>
    <x v="1"/>
    <n v="4"/>
    <x v="0"/>
  </r>
  <r>
    <n v="624"/>
    <s v="OnePlus 9"/>
    <s v="Android"/>
    <n v="42"/>
    <x v="60"/>
    <n v="417"/>
    <n v="15"/>
    <n v="284"/>
    <x v="5"/>
    <x v="0"/>
    <n v="1"/>
    <x v="1"/>
  </r>
  <r>
    <n v="625"/>
    <s v="Samsung Galaxy S21"/>
    <s v="Android"/>
    <n v="36"/>
    <x v="63"/>
    <n v="310"/>
    <n v="15"/>
    <n v="272"/>
    <x v="15"/>
    <x v="0"/>
    <n v="1"/>
    <x v="0"/>
  </r>
  <r>
    <n v="626"/>
    <s v="OnePlus 9"/>
    <s v="Android"/>
    <n v="55"/>
    <x v="60"/>
    <n v="328"/>
    <n v="12"/>
    <n v="196"/>
    <x v="4"/>
    <x v="1"/>
    <n v="1"/>
    <x v="1"/>
  </r>
  <r>
    <n v="627"/>
    <s v="iPhone 12"/>
    <s v="iOS"/>
    <n v="210"/>
    <x v="98"/>
    <n v="1614"/>
    <n v="53"/>
    <n v="679"/>
    <x v="21"/>
    <x v="1"/>
    <n v="3"/>
    <x v="0"/>
  </r>
  <r>
    <n v="628"/>
    <s v="iPhone 12"/>
    <s v="iOS"/>
    <n v="227"/>
    <x v="73"/>
    <n v="1446"/>
    <n v="46"/>
    <n v="920"/>
    <x v="39"/>
    <x v="0"/>
    <n v="3"/>
    <x v="0"/>
  </r>
  <r>
    <n v="629"/>
    <s v="Xiaomi Mi 11"/>
    <s v="Android"/>
    <n v="47"/>
    <x v="30"/>
    <n v="437"/>
    <n v="18"/>
    <n v="234"/>
    <x v="21"/>
    <x v="0"/>
    <n v="1"/>
    <x v="0"/>
  </r>
  <r>
    <n v="630"/>
    <s v="iPhone 12"/>
    <s v="iOS"/>
    <n v="461"/>
    <x v="57"/>
    <n v="1988"/>
    <n v="62"/>
    <n v="1004"/>
    <x v="5"/>
    <x v="0"/>
    <n v="4"/>
    <x v="1"/>
  </r>
  <r>
    <n v="631"/>
    <s v="Google Pixel 5"/>
    <s v="Android"/>
    <n v="94"/>
    <x v="90"/>
    <n v="1078"/>
    <n v="38"/>
    <n v="489"/>
    <x v="23"/>
    <x v="0"/>
    <n v="2"/>
    <x v="1"/>
  </r>
  <r>
    <n v="632"/>
    <s v="Samsung Galaxy S21"/>
    <s v="Android"/>
    <n v="216"/>
    <x v="70"/>
    <n v="1483"/>
    <n v="54"/>
    <n v="977"/>
    <x v="15"/>
    <x v="1"/>
    <n v="3"/>
    <x v="0"/>
  </r>
  <r>
    <n v="633"/>
    <s v="iPhone 12"/>
    <s v="iOS"/>
    <n v="496"/>
    <x v="29"/>
    <n v="2587"/>
    <n v="84"/>
    <n v="1921"/>
    <x v="25"/>
    <x v="1"/>
    <n v="5"/>
    <x v="0"/>
  </r>
  <r>
    <n v="634"/>
    <s v="OnePlus 9"/>
    <s v="Android"/>
    <n v="138"/>
    <x v="71"/>
    <n v="1142"/>
    <n v="31"/>
    <n v="366"/>
    <x v="14"/>
    <x v="1"/>
    <n v="2"/>
    <x v="1"/>
  </r>
  <r>
    <n v="635"/>
    <s v="iPhone 12"/>
    <s v="iOS"/>
    <n v="318"/>
    <x v="9"/>
    <n v="2055"/>
    <n v="67"/>
    <n v="1253"/>
    <x v="9"/>
    <x v="0"/>
    <n v="4"/>
    <x v="0"/>
  </r>
  <r>
    <n v="636"/>
    <s v="Samsung Galaxy S21"/>
    <s v="Android"/>
    <n v="96"/>
    <x v="23"/>
    <n v="1198"/>
    <n v="39"/>
    <n v="401"/>
    <x v="40"/>
    <x v="1"/>
    <n v="2"/>
    <x v="0"/>
  </r>
  <r>
    <n v="637"/>
    <s v="OnePlus 9"/>
    <s v="Android"/>
    <n v="510"/>
    <x v="86"/>
    <n v="2433"/>
    <n v="90"/>
    <n v="1729"/>
    <x v="1"/>
    <x v="0"/>
    <n v="5"/>
    <x v="0"/>
  </r>
  <r>
    <n v="638"/>
    <s v="Xiaomi Mi 11"/>
    <s v="Android"/>
    <n v="83"/>
    <x v="46"/>
    <n v="546"/>
    <n v="10"/>
    <n v="289"/>
    <x v="36"/>
    <x v="1"/>
    <n v="1"/>
    <x v="1"/>
  </r>
  <r>
    <n v="639"/>
    <s v="Google Pixel 5"/>
    <s v="Android"/>
    <n v="417"/>
    <x v="12"/>
    <n v="2074"/>
    <n v="63"/>
    <n v="1135"/>
    <x v="37"/>
    <x v="1"/>
    <n v="4"/>
    <x v="0"/>
  </r>
  <r>
    <n v="640"/>
    <s v="Google Pixel 5"/>
    <s v="Android"/>
    <n v="538"/>
    <x v="102"/>
    <n v="2778"/>
    <n v="91"/>
    <n v="2080"/>
    <x v="37"/>
    <x v="1"/>
    <n v="5"/>
    <x v="0"/>
  </r>
  <r>
    <n v="641"/>
    <s v="Samsung Galaxy S21"/>
    <s v="Android"/>
    <n v="63"/>
    <x v="60"/>
    <n v="321"/>
    <n v="11"/>
    <n v="271"/>
    <x v="2"/>
    <x v="0"/>
    <n v="1"/>
    <x v="0"/>
  </r>
  <r>
    <n v="642"/>
    <s v="OnePlus 9"/>
    <s v="Android"/>
    <n v="50"/>
    <x v="10"/>
    <n v="443"/>
    <n v="16"/>
    <n v="255"/>
    <x v="13"/>
    <x v="1"/>
    <n v="1"/>
    <x v="1"/>
  </r>
  <r>
    <n v="643"/>
    <s v="Google Pixel 5"/>
    <s v="Android"/>
    <n v="502"/>
    <x v="39"/>
    <n v="2597"/>
    <n v="90"/>
    <n v="1553"/>
    <x v="28"/>
    <x v="0"/>
    <n v="5"/>
    <x v="1"/>
  </r>
  <r>
    <n v="644"/>
    <s v="OnePlus 9"/>
    <s v="Android"/>
    <n v="105"/>
    <x v="31"/>
    <n v="723"/>
    <n v="35"/>
    <n v="566"/>
    <x v="41"/>
    <x v="0"/>
    <n v="2"/>
    <x v="0"/>
  </r>
  <r>
    <n v="645"/>
    <s v="Google Pixel 5"/>
    <s v="Android"/>
    <n v="186"/>
    <x v="3"/>
    <n v="1494"/>
    <n v="53"/>
    <n v="949"/>
    <x v="3"/>
    <x v="1"/>
    <n v="3"/>
    <x v="1"/>
  </r>
  <r>
    <n v="646"/>
    <s v="Xiaomi Mi 11"/>
    <s v="Android"/>
    <n v="174"/>
    <x v="99"/>
    <n v="1197"/>
    <n v="23"/>
    <n v="345"/>
    <x v="3"/>
    <x v="1"/>
    <n v="2"/>
    <x v="1"/>
  </r>
  <r>
    <n v="647"/>
    <s v="Samsung Galaxy S21"/>
    <s v="Android"/>
    <n v="89"/>
    <x v="89"/>
    <n v="314"/>
    <n v="16"/>
    <n v="201"/>
    <x v="18"/>
    <x v="1"/>
    <n v="1"/>
    <x v="0"/>
  </r>
  <r>
    <n v="648"/>
    <s v="iPhone 12"/>
    <s v="iOS"/>
    <n v="66"/>
    <x v="63"/>
    <n v="565"/>
    <n v="17"/>
    <n v="283"/>
    <x v="2"/>
    <x v="1"/>
    <n v="1"/>
    <x v="0"/>
  </r>
  <r>
    <n v="649"/>
    <s v="iPhone 12"/>
    <s v="iOS"/>
    <n v="389"/>
    <x v="57"/>
    <n v="2294"/>
    <n v="76"/>
    <n v="1334"/>
    <x v="30"/>
    <x v="0"/>
    <n v="4"/>
    <x v="0"/>
  </r>
  <r>
    <n v="650"/>
    <s v="Xiaomi Mi 11"/>
    <s v="Android"/>
    <n v="186"/>
    <x v="14"/>
    <n v="1627"/>
    <n v="58"/>
    <n v="790"/>
    <x v="4"/>
    <x v="1"/>
    <n v="3"/>
    <x v="1"/>
  </r>
  <r>
    <n v="651"/>
    <s v="Google Pixel 5"/>
    <s v="Android"/>
    <n v="149"/>
    <x v="5"/>
    <n v="1041"/>
    <n v="39"/>
    <n v="356"/>
    <x v="10"/>
    <x v="0"/>
    <n v="2"/>
    <x v="0"/>
  </r>
  <r>
    <n v="652"/>
    <s v="iPhone 12"/>
    <s v="iOS"/>
    <n v="69"/>
    <x v="54"/>
    <n v="519"/>
    <n v="10"/>
    <n v="167"/>
    <x v="34"/>
    <x v="1"/>
    <n v="1"/>
    <x v="0"/>
  </r>
  <r>
    <n v="653"/>
    <s v="Xiaomi Mi 11"/>
    <s v="Android"/>
    <n v="206"/>
    <x v="73"/>
    <n v="1632"/>
    <n v="47"/>
    <n v="694"/>
    <x v="31"/>
    <x v="0"/>
    <n v="3"/>
    <x v="1"/>
  </r>
  <r>
    <n v="654"/>
    <s v="Samsung Galaxy S21"/>
    <s v="Android"/>
    <n v="49"/>
    <x v="30"/>
    <n v="365"/>
    <n v="19"/>
    <n v="144"/>
    <x v="14"/>
    <x v="0"/>
    <n v="1"/>
    <x v="1"/>
  </r>
  <r>
    <n v="655"/>
    <s v="Google Pixel 5"/>
    <s v="Android"/>
    <n v="594"/>
    <x v="25"/>
    <n v="2839"/>
    <n v="91"/>
    <n v="1647"/>
    <x v="25"/>
    <x v="0"/>
    <n v="5"/>
    <x v="0"/>
  </r>
  <r>
    <n v="656"/>
    <s v="Google Pixel 5"/>
    <s v="Android"/>
    <n v="104"/>
    <x v="35"/>
    <n v="1028"/>
    <n v="29"/>
    <n v="493"/>
    <x v="11"/>
    <x v="0"/>
    <n v="2"/>
    <x v="0"/>
  </r>
  <r>
    <n v="657"/>
    <s v="Google Pixel 5"/>
    <s v="Android"/>
    <n v="262"/>
    <x v="22"/>
    <n v="1489"/>
    <n v="59"/>
    <n v="628"/>
    <x v="29"/>
    <x v="1"/>
    <n v="3"/>
    <x v="0"/>
  </r>
  <r>
    <n v="658"/>
    <s v="Xiaomi Mi 11"/>
    <s v="Android"/>
    <n v="278"/>
    <x v="82"/>
    <n v="1368"/>
    <n v="56"/>
    <n v="894"/>
    <x v="0"/>
    <x v="1"/>
    <n v="3"/>
    <x v="0"/>
  </r>
  <r>
    <n v="659"/>
    <s v="Xiaomi Mi 11"/>
    <s v="Android"/>
    <n v="463"/>
    <x v="26"/>
    <n v="2358"/>
    <n v="68"/>
    <n v="1236"/>
    <x v="9"/>
    <x v="1"/>
    <n v="4"/>
    <x v="0"/>
  </r>
  <r>
    <n v="660"/>
    <s v="Xiaomi Mi 11"/>
    <s v="Android"/>
    <n v="505"/>
    <x v="94"/>
    <n v="2464"/>
    <n v="91"/>
    <n v="2375"/>
    <x v="37"/>
    <x v="0"/>
    <n v="5"/>
    <x v="0"/>
  </r>
  <r>
    <n v="661"/>
    <s v="Google Pixel 5"/>
    <s v="Android"/>
    <n v="50"/>
    <x v="63"/>
    <n v="387"/>
    <n v="12"/>
    <n v="146"/>
    <x v="39"/>
    <x v="0"/>
    <n v="1"/>
    <x v="0"/>
  </r>
  <r>
    <n v="662"/>
    <s v="Xiaomi Mi 11"/>
    <s v="Android"/>
    <n v="138"/>
    <x v="90"/>
    <n v="947"/>
    <n v="29"/>
    <n v="545"/>
    <x v="40"/>
    <x v="0"/>
    <n v="2"/>
    <x v="0"/>
  </r>
  <r>
    <n v="663"/>
    <s v="Xiaomi Mi 11"/>
    <s v="Android"/>
    <n v="130"/>
    <x v="71"/>
    <n v="1189"/>
    <n v="37"/>
    <n v="448"/>
    <x v="15"/>
    <x v="0"/>
    <n v="2"/>
    <x v="0"/>
  </r>
  <r>
    <n v="664"/>
    <s v="Google Pixel 5"/>
    <s v="Android"/>
    <n v="469"/>
    <x v="0"/>
    <n v="1858"/>
    <n v="78"/>
    <n v="1297"/>
    <x v="21"/>
    <x v="1"/>
    <n v="4"/>
    <x v="0"/>
  </r>
  <r>
    <n v="665"/>
    <s v="Xiaomi Mi 11"/>
    <s v="Android"/>
    <n v="555"/>
    <x v="103"/>
    <n v="2568"/>
    <n v="83"/>
    <n v="2003"/>
    <x v="19"/>
    <x v="0"/>
    <n v="5"/>
    <x v="0"/>
  </r>
  <r>
    <n v="666"/>
    <s v="iPhone 12"/>
    <s v="iOS"/>
    <n v="198"/>
    <x v="14"/>
    <n v="1544"/>
    <n v="53"/>
    <n v="635"/>
    <x v="30"/>
    <x v="0"/>
    <n v="3"/>
    <x v="0"/>
  </r>
  <r>
    <n v="667"/>
    <s v="Samsung Galaxy S21"/>
    <s v="Android"/>
    <n v="529"/>
    <x v="7"/>
    <n v="2891"/>
    <n v="82"/>
    <n v="1845"/>
    <x v="41"/>
    <x v="0"/>
    <n v="5"/>
    <x v="0"/>
  </r>
  <r>
    <n v="668"/>
    <s v="Samsung Galaxy S21"/>
    <s v="Android"/>
    <n v="205"/>
    <x v="11"/>
    <n v="1699"/>
    <n v="49"/>
    <n v="729"/>
    <x v="38"/>
    <x v="0"/>
    <n v="3"/>
    <x v="0"/>
  </r>
  <r>
    <n v="669"/>
    <s v="iPhone 12"/>
    <s v="iOS"/>
    <n v="170"/>
    <x v="36"/>
    <n v="1039"/>
    <n v="38"/>
    <n v="334"/>
    <x v="16"/>
    <x v="0"/>
    <n v="2"/>
    <x v="1"/>
  </r>
  <r>
    <n v="670"/>
    <s v="Samsung Galaxy S21"/>
    <s v="Android"/>
    <n v="160"/>
    <x v="71"/>
    <n v="648"/>
    <n v="31"/>
    <n v="339"/>
    <x v="28"/>
    <x v="1"/>
    <n v="2"/>
    <x v="1"/>
  </r>
  <r>
    <n v="671"/>
    <s v="iPhone 12"/>
    <s v="iOS"/>
    <n v="81"/>
    <x v="45"/>
    <n v="387"/>
    <n v="13"/>
    <n v="224"/>
    <x v="40"/>
    <x v="0"/>
    <n v="1"/>
    <x v="0"/>
  </r>
  <r>
    <n v="672"/>
    <s v="Google Pixel 5"/>
    <s v="Android"/>
    <n v="468"/>
    <x v="6"/>
    <n v="1937"/>
    <n v="64"/>
    <n v="1209"/>
    <x v="27"/>
    <x v="0"/>
    <n v="4"/>
    <x v="1"/>
  </r>
  <r>
    <n v="673"/>
    <s v="Xiaomi Mi 11"/>
    <s v="Android"/>
    <n v="500"/>
    <x v="32"/>
    <n v="2925"/>
    <n v="84"/>
    <n v="2438"/>
    <x v="28"/>
    <x v="0"/>
    <n v="5"/>
    <x v="1"/>
  </r>
  <r>
    <n v="674"/>
    <s v="Google Pixel 5"/>
    <s v="Android"/>
    <n v="37"/>
    <x v="45"/>
    <n v="490"/>
    <n v="18"/>
    <n v="216"/>
    <x v="19"/>
    <x v="0"/>
    <n v="1"/>
    <x v="0"/>
  </r>
  <r>
    <n v="675"/>
    <s v="Xiaomi Mi 11"/>
    <s v="Android"/>
    <n v="522"/>
    <x v="7"/>
    <n v="2776"/>
    <n v="93"/>
    <n v="1768"/>
    <x v="28"/>
    <x v="1"/>
    <n v="5"/>
    <x v="1"/>
  </r>
  <r>
    <n v="676"/>
    <s v="Xiaomi Mi 11"/>
    <s v="Android"/>
    <n v="81"/>
    <x v="63"/>
    <n v="545"/>
    <n v="17"/>
    <n v="159"/>
    <x v="0"/>
    <x v="0"/>
    <n v="1"/>
    <x v="0"/>
  </r>
  <r>
    <n v="677"/>
    <s v="OnePlus 9"/>
    <s v="Android"/>
    <n v="141"/>
    <x v="68"/>
    <n v="689"/>
    <n v="38"/>
    <n v="576"/>
    <x v="6"/>
    <x v="0"/>
    <n v="2"/>
    <x v="1"/>
  </r>
  <r>
    <n v="678"/>
    <s v="Samsung Galaxy S21"/>
    <s v="Android"/>
    <n v="115"/>
    <x v="97"/>
    <n v="706"/>
    <n v="26"/>
    <n v="495"/>
    <x v="19"/>
    <x v="1"/>
    <n v="2"/>
    <x v="0"/>
  </r>
  <r>
    <n v="679"/>
    <s v="Google Pixel 5"/>
    <s v="Android"/>
    <n v="298"/>
    <x v="28"/>
    <n v="1525"/>
    <n v="59"/>
    <n v="814"/>
    <x v="38"/>
    <x v="1"/>
    <n v="3"/>
    <x v="0"/>
  </r>
  <r>
    <n v="680"/>
    <s v="iPhone 12"/>
    <s v="iOS"/>
    <n v="33"/>
    <x v="60"/>
    <n v="334"/>
    <n v="16"/>
    <n v="113"/>
    <x v="38"/>
    <x v="1"/>
    <n v="1"/>
    <x v="0"/>
  </r>
  <r>
    <n v="681"/>
    <s v="Google Pixel 5"/>
    <s v="Android"/>
    <n v="307"/>
    <x v="92"/>
    <n v="2105"/>
    <n v="76"/>
    <n v="1111"/>
    <x v="23"/>
    <x v="1"/>
    <n v="4"/>
    <x v="1"/>
  </r>
  <r>
    <n v="682"/>
    <s v="Xiaomi Mi 11"/>
    <s v="Android"/>
    <n v="380"/>
    <x v="24"/>
    <n v="2354"/>
    <n v="77"/>
    <n v="1191"/>
    <x v="31"/>
    <x v="0"/>
    <n v="4"/>
    <x v="1"/>
  </r>
  <r>
    <n v="683"/>
    <s v="Xiaomi Mi 11"/>
    <s v="Android"/>
    <n v="190"/>
    <x v="11"/>
    <n v="1718"/>
    <n v="58"/>
    <n v="815"/>
    <x v="2"/>
    <x v="0"/>
    <n v="3"/>
    <x v="0"/>
  </r>
  <r>
    <n v="684"/>
    <s v="Samsung Galaxy S21"/>
    <s v="Android"/>
    <n v="75"/>
    <x v="45"/>
    <n v="325"/>
    <n v="12"/>
    <n v="225"/>
    <x v="15"/>
    <x v="0"/>
    <n v="1"/>
    <x v="0"/>
  </r>
  <r>
    <n v="685"/>
    <s v="Google Pixel 5"/>
    <s v="Android"/>
    <n v="218"/>
    <x v="2"/>
    <n v="1221"/>
    <n v="47"/>
    <n v="822"/>
    <x v="23"/>
    <x v="0"/>
    <n v="3"/>
    <x v="1"/>
  </r>
  <r>
    <n v="686"/>
    <s v="Xiaomi Mi 11"/>
    <s v="Android"/>
    <n v="412"/>
    <x v="9"/>
    <n v="1859"/>
    <n v="67"/>
    <n v="1393"/>
    <x v="26"/>
    <x v="0"/>
    <n v="4"/>
    <x v="0"/>
  </r>
  <r>
    <n v="687"/>
    <s v="Google Pixel 5"/>
    <s v="Android"/>
    <n v="335"/>
    <x v="8"/>
    <n v="2037"/>
    <n v="68"/>
    <n v="1007"/>
    <x v="26"/>
    <x v="0"/>
    <n v="4"/>
    <x v="0"/>
  </r>
  <r>
    <n v="688"/>
    <s v="OnePlus 9"/>
    <s v="Android"/>
    <n v="387"/>
    <x v="57"/>
    <n v="2098"/>
    <n v="61"/>
    <n v="1178"/>
    <x v="29"/>
    <x v="0"/>
    <n v="4"/>
    <x v="0"/>
  </r>
  <r>
    <n v="689"/>
    <s v="Google Pixel 5"/>
    <s v="Android"/>
    <n v="261"/>
    <x v="13"/>
    <n v="1589"/>
    <n v="56"/>
    <n v="824"/>
    <x v="19"/>
    <x v="1"/>
    <n v="3"/>
    <x v="0"/>
  </r>
  <r>
    <n v="690"/>
    <s v="Samsung Galaxy S21"/>
    <s v="Android"/>
    <n v="541"/>
    <x v="65"/>
    <n v="2424"/>
    <n v="98"/>
    <n v="1550"/>
    <x v="36"/>
    <x v="0"/>
    <n v="5"/>
    <x v="1"/>
  </r>
  <r>
    <n v="691"/>
    <s v="Google Pixel 5"/>
    <s v="Android"/>
    <n v="195"/>
    <x v="58"/>
    <n v="1447"/>
    <n v="48"/>
    <n v="679"/>
    <x v="31"/>
    <x v="0"/>
    <n v="3"/>
    <x v="1"/>
  </r>
  <r>
    <n v="692"/>
    <s v="iPhone 12"/>
    <s v="iOS"/>
    <n v="178"/>
    <x v="2"/>
    <n v="856"/>
    <n v="37"/>
    <n v="569"/>
    <x v="34"/>
    <x v="1"/>
    <n v="2"/>
    <x v="0"/>
  </r>
  <r>
    <n v="693"/>
    <s v="Xiaomi Mi 11"/>
    <s v="Android"/>
    <n v="378"/>
    <x v="107"/>
    <n v="1898"/>
    <n v="78"/>
    <n v="1455"/>
    <x v="40"/>
    <x v="1"/>
    <n v="4"/>
    <x v="0"/>
  </r>
  <r>
    <n v="694"/>
    <s v="Xiaomi Mi 11"/>
    <s v="Android"/>
    <n v="505"/>
    <x v="69"/>
    <n v="2792"/>
    <n v="82"/>
    <n v="1709"/>
    <x v="4"/>
    <x v="0"/>
    <n v="5"/>
    <x v="1"/>
  </r>
  <r>
    <n v="695"/>
    <s v="Samsung Galaxy S21"/>
    <s v="Android"/>
    <n v="564"/>
    <x v="80"/>
    <n v="2422"/>
    <n v="83"/>
    <n v="1985"/>
    <x v="6"/>
    <x v="1"/>
    <n v="5"/>
    <x v="1"/>
  </r>
  <r>
    <n v="696"/>
    <s v="iPhone 12"/>
    <s v="iOS"/>
    <n v="92"/>
    <x v="104"/>
    <n v="1082"/>
    <n v="26"/>
    <n v="381"/>
    <x v="27"/>
    <x v="0"/>
    <n v="2"/>
    <x v="1"/>
  </r>
  <r>
    <n v="697"/>
    <s v="Xiaomi Mi 11"/>
    <s v="Android"/>
    <n v="316"/>
    <x v="26"/>
    <n v="1965"/>
    <n v="68"/>
    <n v="1201"/>
    <x v="39"/>
    <x v="0"/>
    <n v="4"/>
    <x v="0"/>
  </r>
  <r>
    <n v="698"/>
    <s v="Google Pixel 5"/>
    <s v="Android"/>
    <n v="99"/>
    <x v="90"/>
    <n v="942"/>
    <n v="22"/>
    <n v="457"/>
    <x v="33"/>
    <x v="1"/>
    <n v="2"/>
    <x v="0"/>
  </r>
  <r>
    <n v="699"/>
    <s v="Samsung Galaxy S21"/>
    <s v="Android"/>
    <n v="62"/>
    <x v="54"/>
    <n v="431"/>
    <n v="13"/>
    <n v="224"/>
    <x v="12"/>
    <x v="0"/>
    <n v="1"/>
    <x v="0"/>
  </r>
  <r>
    <n v="700"/>
    <s v="OnePlus 9"/>
    <s v="Android"/>
    <n v="212"/>
    <x v="14"/>
    <n v="1306"/>
    <n v="49"/>
    <n v="828"/>
    <x v="16"/>
    <x v="1"/>
    <n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3A6A7-A5C2-4D6E-ADFE-10BAFC47D1C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2">
    <pivotField showAll="0"/>
    <pivotField showAll="0"/>
    <pivotField showAll="0"/>
    <pivotField showAll="0"/>
    <pivotField dataField="1" showAll="0">
      <items count="109">
        <item x="78"/>
        <item x="46"/>
        <item x="30"/>
        <item x="89"/>
        <item x="10"/>
        <item x="63"/>
        <item x="45"/>
        <item x="54"/>
        <item x="60"/>
        <item x="51"/>
        <item x="5"/>
        <item x="34"/>
        <item x="44"/>
        <item x="95"/>
        <item x="36"/>
        <item x="59"/>
        <item x="19"/>
        <item x="43"/>
        <item x="62"/>
        <item x="99"/>
        <item x="100"/>
        <item x="90"/>
        <item x="71"/>
        <item x="31"/>
        <item x="23"/>
        <item x="97"/>
        <item x="16"/>
        <item x="35"/>
        <item x="68"/>
        <item x="104"/>
        <item x="2"/>
        <item x="64"/>
        <item x="67"/>
        <item x="4"/>
        <item x="87"/>
        <item x="53"/>
        <item x="28"/>
        <item x="1"/>
        <item x="3"/>
        <item x="13"/>
        <item x="98"/>
        <item x="70"/>
        <item x="73"/>
        <item x="82"/>
        <item x="14"/>
        <item x="11"/>
        <item x="22"/>
        <item x="58"/>
        <item x="17"/>
        <item x="42"/>
        <item x="27"/>
        <item x="92"/>
        <item x="12"/>
        <item x="57"/>
        <item x="0"/>
        <item x="21"/>
        <item x="9"/>
        <item x="107"/>
        <item x="26"/>
        <item x="93"/>
        <item x="47"/>
        <item x="48"/>
        <item x="55"/>
        <item x="6"/>
        <item x="41"/>
        <item x="50"/>
        <item x="24"/>
        <item x="8"/>
        <item x="84"/>
        <item x="72"/>
        <item x="75"/>
        <item x="39"/>
        <item x="101"/>
        <item x="38"/>
        <item x="18"/>
        <item x="69"/>
        <item x="40"/>
        <item x="105"/>
        <item x="88"/>
        <item x="56"/>
        <item x="106"/>
        <item x="85"/>
        <item x="91"/>
        <item x="83"/>
        <item x="65"/>
        <item x="94"/>
        <item x="80"/>
        <item x="102"/>
        <item x="74"/>
        <item x="33"/>
        <item x="29"/>
        <item x="103"/>
        <item x="15"/>
        <item x="25"/>
        <item x="61"/>
        <item x="86"/>
        <item x="77"/>
        <item x="37"/>
        <item x="81"/>
        <item x="32"/>
        <item x="79"/>
        <item x="7"/>
        <item x="52"/>
        <item x="20"/>
        <item x="96"/>
        <item x="76"/>
        <item x="49"/>
        <item x="66"/>
        <item t="default"/>
      </items>
    </pivotField>
    <pivotField showAll="0"/>
    <pivotField showAll="0"/>
    <pivotField showAll="0"/>
    <pivotField showAll="0">
      <items count="43">
        <item x="26"/>
        <item x="22"/>
        <item x="3"/>
        <item x="5"/>
        <item x="27"/>
        <item x="16"/>
        <item x="7"/>
        <item x="23"/>
        <item x="13"/>
        <item x="28"/>
        <item x="32"/>
        <item x="14"/>
        <item x="31"/>
        <item x="4"/>
        <item x="36"/>
        <item x="20"/>
        <item x="6"/>
        <item x="37"/>
        <item x="38"/>
        <item x="17"/>
        <item x="24"/>
        <item x="11"/>
        <item x="0"/>
        <item x="35"/>
        <item x="2"/>
        <item x="9"/>
        <item x="12"/>
        <item x="15"/>
        <item x="41"/>
        <item x="1"/>
        <item x="40"/>
        <item x="10"/>
        <item x="33"/>
        <item x="34"/>
        <item x="19"/>
        <item x="30"/>
        <item x="29"/>
        <item x="21"/>
        <item x="25"/>
        <item x="8"/>
        <item x="18"/>
        <item x="39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creen On Time (hours/day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CFD5-D61D-454E-9B08-524581134DD4}">
  <dimension ref="A1:L703"/>
  <sheetViews>
    <sheetView zoomScale="106" workbookViewId="0"/>
  </sheetViews>
  <sheetFormatPr defaultRowHeight="14.4" x14ac:dyDescent="0.3"/>
  <cols>
    <col min="1" max="1" width="9.44140625" customWidth="1"/>
    <col min="2" max="2" width="29" customWidth="1"/>
    <col min="3" max="3" width="14.109375" customWidth="1"/>
    <col min="4" max="4" width="24.88671875" customWidth="1"/>
    <col min="5" max="5" width="26" customWidth="1"/>
    <col min="6" max="6" width="25.77734375" customWidth="1"/>
    <col min="7" max="7" width="24.21875" customWidth="1"/>
    <col min="8" max="8" width="25.21875" customWidth="1"/>
    <col min="9" max="9" width="27.109375" customWidth="1"/>
    <col min="10" max="10" width="8.109375" customWidth="1"/>
    <col min="11" max="11" width="32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3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13</v>
      </c>
      <c r="K2">
        <v>4</v>
      </c>
    </row>
    <row r="3" spans="1:12" x14ac:dyDescent="0.3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15</v>
      </c>
      <c r="K3">
        <v>3</v>
      </c>
    </row>
    <row r="4" spans="1:12" x14ac:dyDescent="0.3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13</v>
      </c>
      <c r="K4">
        <v>2</v>
      </c>
    </row>
    <row r="5" spans="1:12" x14ac:dyDescent="0.3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13</v>
      </c>
      <c r="K5">
        <v>3</v>
      </c>
    </row>
    <row r="6" spans="1:12" x14ac:dyDescent="0.3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15</v>
      </c>
      <c r="K6">
        <v>3</v>
      </c>
    </row>
    <row r="7" spans="1:12" x14ac:dyDescent="0.3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13</v>
      </c>
      <c r="K7">
        <v>2</v>
      </c>
    </row>
    <row r="8" spans="1:12" x14ac:dyDescent="0.3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15</v>
      </c>
      <c r="K8">
        <v>4</v>
      </c>
    </row>
    <row r="9" spans="1:12" x14ac:dyDescent="0.3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13</v>
      </c>
      <c r="K9">
        <v>5</v>
      </c>
    </row>
    <row r="10" spans="1:12" x14ac:dyDescent="0.3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15</v>
      </c>
      <c r="K10">
        <v>4</v>
      </c>
    </row>
    <row r="11" spans="1:12" x14ac:dyDescent="0.3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13</v>
      </c>
      <c r="K11">
        <v>4</v>
      </c>
    </row>
    <row r="12" spans="1:12" x14ac:dyDescent="0.3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15</v>
      </c>
      <c r="K12">
        <v>1</v>
      </c>
    </row>
    <row r="13" spans="1:12" x14ac:dyDescent="0.3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13</v>
      </c>
      <c r="K13">
        <v>3</v>
      </c>
    </row>
    <row r="14" spans="1:12" x14ac:dyDescent="0.3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15</v>
      </c>
      <c r="K14">
        <v>4</v>
      </c>
    </row>
    <row r="15" spans="1:12" x14ac:dyDescent="0.3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13</v>
      </c>
      <c r="K15">
        <v>3</v>
      </c>
    </row>
    <row r="16" spans="1:12" x14ac:dyDescent="0.3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15</v>
      </c>
      <c r="K16">
        <v>3</v>
      </c>
    </row>
    <row r="17" spans="1:11" x14ac:dyDescent="0.3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15</v>
      </c>
      <c r="K17">
        <v>5</v>
      </c>
    </row>
    <row r="18" spans="1:11" x14ac:dyDescent="0.3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15</v>
      </c>
      <c r="K18">
        <v>2</v>
      </c>
    </row>
    <row r="19" spans="1:11" x14ac:dyDescent="0.3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15</v>
      </c>
      <c r="K19">
        <v>3</v>
      </c>
    </row>
    <row r="20" spans="1:11" x14ac:dyDescent="0.3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15</v>
      </c>
      <c r="K20">
        <v>1</v>
      </c>
    </row>
    <row r="21" spans="1:11" x14ac:dyDescent="0.3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15</v>
      </c>
      <c r="K21">
        <v>5</v>
      </c>
    </row>
    <row r="22" spans="1:11" x14ac:dyDescent="0.3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15</v>
      </c>
      <c r="K22">
        <v>2</v>
      </c>
    </row>
    <row r="23" spans="1:11" x14ac:dyDescent="0.3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15</v>
      </c>
      <c r="K23">
        <v>5</v>
      </c>
    </row>
    <row r="24" spans="1:11" x14ac:dyDescent="0.3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15</v>
      </c>
      <c r="K24">
        <v>4</v>
      </c>
    </row>
    <row r="25" spans="1:11" x14ac:dyDescent="0.3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15</v>
      </c>
      <c r="K25">
        <v>3</v>
      </c>
    </row>
    <row r="26" spans="1:11" x14ac:dyDescent="0.3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13</v>
      </c>
      <c r="K26">
        <v>3</v>
      </c>
    </row>
    <row r="27" spans="1:11" x14ac:dyDescent="0.3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13</v>
      </c>
      <c r="K27">
        <v>2</v>
      </c>
    </row>
    <row r="28" spans="1:11" x14ac:dyDescent="0.3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13</v>
      </c>
      <c r="K28">
        <v>4</v>
      </c>
    </row>
    <row r="29" spans="1:11" x14ac:dyDescent="0.3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13</v>
      </c>
      <c r="K29">
        <v>5</v>
      </c>
    </row>
    <row r="30" spans="1:11" x14ac:dyDescent="0.3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15</v>
      </c>
      <c r="K30">
        <v>4</v>
      </c>
    </row>
    <row r="31" spans="1:11" x14ac:dyDescent="0.3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15</v>
      </c>
      <c r="K31">
        <v>4</v>
      </c>
    </row>
    <row r="32" spans="1:11" x14ac:dyDescent="0.3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15</v>
      </c>
      <c r="K32">
        <v>3</v>
      </c>
    </row>
    <row r="33" spans="1:11" x14ac:dyDescent="0.3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13</v>
      </c>
      <c r="K33">
        <v>3</v>
      </c>
    </row>
    <row r="34" spans="1:11" x14ac:dyDescent="0.3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13</v>
      </c>
      <c r="K34">
        <v>3</v>
      </c>
    </row>
    <row r="35" spans="1:11" x14ac:dyDescent="0.3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13</v>
      </c>
      <c r="K35">
        <v>1</v>
      </c>
    </row>
    <row r="36" spans="1:11" x14ac:dyDescent="0.3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15</v>
      </c>
      <c r="K36">
        <v>5</v>
      </c>
    </row>
    <row r="37" spans="1:11" x14ac:dyDescent="0.3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15</v>
      </c>
      <c r="K37">
        <v>1</v>
      </c>
    </row>
    <row r="38" spans="1:11" x14ac:dyDescent="0.3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13</v>
      </c>
      <c r="K38">
        <v>2</v>
      </c>
    </row>
    <row r="39" spans="1:11" x14ac:dyDescent="0.3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13</v>
      </c>
      <c r="K39">
        <v>5</v>
      </c>
    </row>
    <row r="40" spans="1:11" x14ac:dyDescent="0.3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13</v>
      </c>
      <c r="K40">
        <v>4</v>
      </c>
    </row>
    <row r="41" spans="1:11" x14ac:dyDescent="0.3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13</v>
      </c>
      <c r="K41">
        <v>4</v>
      </c>
    </row>
    <row r="42" spans="1:11" x14ac:dyDescent="0.3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15</v>
      </c>
      <c r="K42">
        <v>3</v>
      </c>
    </row>
    <row r="43" spans="1:11" x14ac:dyDescent="0.3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13</v>
      </c>
      <c r="K43">
        <v>5</v>
      </c>
    </row>
    <row r="44" spans="1:11" x14ac:dyDescent="0.3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13</v>
      </c>
      <c r="K44">
        <v>2</v>
      </c>
    </row>
    <row r="45" spans="1:11" x14ac:dyDescent="0.3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13</v>
      </c>
      <c r="K45">
        <v>2</v>
      </c>
    </row>
    <row r="46" spans="1:11" x14ac:dyDescent="0.3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15</v>
      </c>
      <c r="K46">
        <v>2</v>
      </c>
    </row>
    <row r="47" spans="1:11" x14ac:dyDescent="0.3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13</v>
      </c>
      <c r="K47">
        <v>5</v>
      </c>
    </row>
    <row r="48" spans="1:11" x14ac:dyDescent="0.3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15</v>
      </c>
      <c r="K48">
        <v>5</v>
      </c>
    </row>
    <row r="49" spans="1:11" x14ac:dyDescent="0.3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15</v>
      </c>
      <c r="K49">
        <v>2</v>
      </c>
    </row>
    <row r="50" spans="1:11" x14ac:dyDescent="0.3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13</v>
      </c>
      <c r="K50">
        <v>5</v>
      </c>
    </row>
    <row r="51" spans="1:11" x14ac:dyDescent="0.3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13</v>
      </c>
      <c r="K51">
        <v>5</v>
      </c>
    </row>
    <row r="52" spans="1:11" x14ac:dyDescent="0.3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15</v>
      </c>
      <c r="K52">
        <v>4</v>
      </c>
    </row>
    <row r="53" spans="1:11" x14ac:dyDescent="0.3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13</v>
      </c>
      <c r="K53">
        <v>3</v>
      </c>
    </row>
    <row r="54" spans="1:11" x14ac:dyDescent="0.3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15</v>
      </c>
      <c r="K54">
        <v>2</v>
      </c>
    </row>
    <row r="55" spans="1:11" x14ac:dyDescent="0.3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13</v>
      </c>
      <c r="K55">
        <v>2</v>
      </c>
    </row>
    <row r="56" spans="1:11" x14ac:dyDescent="0.3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15</v>
      </c>
      <c r="K56">
        <v>5</v>
      </c>
    </row>
    <row r="57" spans="1:11" x14ac:dyDescent="0.3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13</v>
      </c>
      <c r="K57">
        <v>1</v>
      </c>
    </row>
    <row r="58" spans="1:11" x14ac:dyDescent="0.3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15</v>
      </c>
      <c r="K58">
        <v>1</v>
      </c>
    </row>
    <row r="59" spans="1:11" x14ac:dyDescent="0.3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13</v>
      </c>
      <c r="K59">
        <v>5</v>
      </c>
    </row>
    <row r="60" spans="1:11" x14ac:dyDescent="0.3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13</v>
      </c>
      <c r="K60">
        <v>4</v>
      </c>
    </row>
    <row r="61" spans="1:11" x14ac:dyDescent="0.3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13</v>
      </c>
      <c r="K61">
        <v>4</v>
      </c>
    </row>
    <row r="62" spans="1:11" x14ac:dyDescent="0.3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15</v>
      </c>
      <c r="K62">
        <v>5</v>
      </c>
    </row>
    <row r="63" spans="1:11" x14ac:dyDescent="0.3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15</v>
      </c>
      <c r="K63">
        <v>4</v>
      </c>
    </row>
    <row r="64" spans="1:11" x14ac:dyDescent="0.3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13</v>
      </c>
      <c r="K64">
        <v>1</v>
      </c>
    </row>
    <row r="65" spans="1:11" x14ac:dyDescent="0.3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15</v>
      </c>
      <c r="K65">
        <v>5</v>
      </c>
    </row>
    <row r="66" spans="1:11" x14ac:dyDescent="0.3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13</v>
      </c>
      <c r="K66">
        <v>4</v>
      </c>
    </row>
    <row r="67" spans="1:11" x14ac:dyDescent="0.3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13</v>
      </c>
      <c r="K67">
        <v>3</v>
      </c>
    </row>
    <row r="68" spans="1:11" x14ac:dyDescent="0.3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13</v>
      </c>
      <c r="K68">
        <v>3</v>
      </c>
    </row>
    <row r="69" spans="1:11" x14ac:dyDescent="0.3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15</v>
      </c>
      <c r="K69">
        <v>2</v>
      </c>
    </row>
    <row r="70" spans="1:11" x14ac:dyDescent="0.3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13</v>
      </c>
      <c r="K70">
        <v>5</v>
      </c>
    </row>
    <row r="71" spans="1:11" x14ac:dyDescent="0.3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15</v>
      </c>
      <c r="K71">
        <v>1</v>
      </c>
    </row>
    <row r="72" spans="1:11" x14ac:dyDescent="0.3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15</v>
      </c>
      <c r="K72">
        <v>4</v>
      </c>
    </row>
    <row r="73" spans="1:11" x14ac:dyDescent="0.3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13</v>
      </c>
      <c r="K73">
        <v>5</v>
      </c>
    </row>
    <row r="74" spans="1:11" x14ac:dyDescent="0.3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13</v>
      </c>
      <c r="K74">
        <v>4</v>
      </c>
    </row>
    <row r="75" spans="1:11" x14ac:dyDescent="0.3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15</v>
      </c>
      <c r="K75">
        <v>1</v>
      </c>
    </row>
    <row r="76" spans="1:11" x14ac:dyDescent="0.3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13</v>
      </c>
      <c r="K76">
        <v>1</v>
      </c>
    </row>
    <row r="77" spans="1:11" x14ac:dyDescent="0.3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15</v>
      </c>
      <c r="K77">
        <v>3</v>
      </c>
    </row>
    <row r="78" spans="1:11" x14ac:dyDescent="0.3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15</v>
      </c>
      <c r="K78">
        <v>1</v>
      </c>
    </row>
    <row r="79" spans="1:11" x14ac:dyDescent="0.3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15</v>
      </c>
      <c r="K79">
        <v>2</v>
      </c>
    </row>
    <row r="80" spans="1:11" x14ac:dyDescent="0.3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15</v>
      </c>
      <c r="K80">
        <v>1</v>
      </c>
    </row>
    <row r="81" spans="1:11" x14ac:dyDescent="0.3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15</v>
      </c>
      <c r="K81">
        <v>3</v>
      </c>
    </row>
    <row r="82" spans="1:11" x14ac:dyDescent="0.3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15</v>
      </c>
      <c r="K82">
        <v>5</v>
      </c>
    </row>
    <row r="83" spans="1:11" x14ac:dyDescent="0.3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13</v>
      </c>
      <c r="K83">
        <v>2</v>
      </c>
    </row>
    <row r="84" spans="1:11" x14ac:dyDescent="0.3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15</v>
      </c>
      <c r="K84">
        <v>4</v>
      </c>
    </row>
    <row r="85" spans="1:11" x14ac:dyDescent="0.3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13</v>
      </c>
      <c r="K85">
        <v>1</v>
      </c>
    </row>
    <row r="86" spans="1:11" x14ac:dyDescent="0.3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15</v>
      </c>
      <c r="K86">
        <v>3</v>
      </c>
    </row>
    <row r="87" spans="1:11" x14ac:dyDescent="0.3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13</v>
      </c>
      <c r="K87">
        <v>4</v>
      </c>
    </row>
    <row r="88" spans="1:11" x14ac:dyDescent="0.3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13</v>
      </c>
      <c r="K88">
        <v>2</v>
      </c>
    </row>
    <row r="89" spans="1:11" x14ac:dyDescent="0.3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13</v>
      </c>
      <c r="K89">
        <v>1</v>
      </c>
    </row>
    <row r="90" spans="1:11" x14ac:dyDescent="0.3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15</v>
      </c>
      <c r="K90">
        <v>2</v>
      </c>
    </row>
    <row r="91" spans="1:11" x14ac:dyDescent="0.3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13</v>
      </c>
      <c r="K91">
        <v>4</v>
      </c>
    </row>
    <row r="92" spans="1:11" x14ac:dyDescent="0.3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15</v>
      </c>
      <c r="K92">
        <v>2</v>
      </c>
    </row>
    <row r="93" spans="1:11" x14ac:dyDescent="0.3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15</v>
      </c>
      <c r="K93">
        <v>3</v>
      </c>
    </row>
    <row r="94" spans="1:11" x14ac:dyDescent="0.3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15</v>
      </c>
      <c r="K94">
        <v>1</v>
      </c>
    </row>
    <row r="95" spans="1:11" x14ac:dyDescent="0.3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13</v>
      </c>
      <c r="K95">
        <v>2</v>
      </c>
    </row>
    <row r="96" spans="1:11" x14ac:dyDescent="0.3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13</v>
      </c>
      <c r="K96">
        <v>4</v>
      </c>
    </row>
    <row r="97" spans="1:11" x14ac:dyDescent="0.3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13</v>
      </c>
      <c r="K97">
        <v>4</v>
      </c>
    </row>
    <row r="98" spans="1:11" x14ac:dyDescent="0.3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13</v>
      </c>
      <c r="K98">
        <v>5</v>
      </c>
    </row>
    <row r="99" spans="1:11" x14ac:dyDescent="0.3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15</v>
      </c>
      <c r="K99">
        <v>5</v>
      </c>
    </row>
    <row r="100" spans="1:11" x14ac:dyDescent="0.3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15</v>
      </c>
      <c r="K100">
        <v>1</v>
      </c>
    </row>
    <row r="101" spans="1:11" x14ac:dyDescent="0.3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15</v>
      </c>
      <c r="K101">
        <v>3</v>
      </c>
    </row>
    <row r="102" spans="1:11" x14ac:dyDescent="0.3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13</v>
      </c>
      <c r="K102">
        <v>1</v>
      </c>
    </row>
    <row r="103" spans="1:11" x14ac:dyDescent="0.3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13</v>
      </c>
      <c r="K103">
        <v>3</v>
      </c>
    </row>
    <row r="104" spans="1:11" x14ac:dyDescent="0.3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15</v>
      </c>
      <c r="K104">
        <v>2</v>
      </c>
    </row>
    <row r="105" spans="1:11" x14ac:dyDescent="0.3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13</v>
      </c>
      <c r="K105">
        <v>3</v>
      </c>
    </row>
    <row r="106" spans="1:11" x14ac:dyDescent="0.3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13</v>
      </c>
      <c r="K106">
        <v>2</v>
      </c>
    </row>
    <row r="107" spans="1:11" x14ac:dyDescent="0.3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13</v>
      </c>
      <c r="K107">
        <v>1</v>
      </c>
    </row>
    <row r="108" spans="1:11" x14ac:dyDescent="0.3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13</v>
      </c>
      <c r="K108">
        <v>2</v>
      </c>
    </row>
    <row r="109" spans="1:11" x14ac:dyDescent="0.3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15</v>
      </c>
      <c r="K109">
        <v>1</v>
      </c>
    </row>
    <row r="110" spans="1:11" x14ac:dyDescent="0.3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15</v>
      </c>
      <c r="K110">
        <v>3</v>
      </c>
    </row>
    <row r="111" spans="1:11" x14ac:dyDescent="0.3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15</v>
      </c>
      <c r="K111">
        <v>3</v>
      </c>
    </row>
    <row r="112" spans="1:11" x14ac:dyDescent="0.3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15</v>
      </c>
      <c r="K112">
        <v>2</v>
      </c>
    </row>
    <row r="113" spans="1:11" x14ac:dyDescent="0.3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13</v>
      </c>
      <c r="K113">
        <v>5</v>
      </c>
    </row>
    <row r="114" spans="1:11" x14ac:dyDescent="0.3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15</v>
      </c>
      <c r="K114">
        <v>3</v>
      </c>
    </row>
    <row r="115" spans="1:11" x14ac:dyDescent="0.3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13</v>
      </c>
      <c r="K115">
        <v>2</v>
      </c>
    </row>
    <row r="116" spans="1:11" x14ac:dyDescent="0.3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15</v>
      </c>
      <c r="K116">
        <v>4</v>
      </c>
    </row>
    <row r="117" spans="1:11" x14ac:dyDescent="0.3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13</v>
      </c>
      <c r="K117">
        <v>2</v>
      </c>
    </row>
    <row r="118" spans="1:11" x14ac:dyDescent="0.3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13</v>
      </c>
      <c r="K118">
        <v>1</v>
      </c>
    </row>
    <row r="119" spans="1:11" x14ac:dyDescent="0.3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15</v>
      </c>
      <c r="K119">
        <v>3</v>
      </c>
    </row>
    <row r="120" spans="1:11" x14ac:dyDescent="0.3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15</v>
      </c>
      <c r="K120">
        <v>1</v>
      </c>
    </row>
    <row r="121" spans="1:11" x14ac:dyDescent="0.3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13</v>
      </c>
      <c r="K121">
        <v>2</v>
      </c>
    </row>
    <row r="122" spans="1:11" x14ac:dyDescent="0.3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15</v>
      </c>
      <c r="K122">
        <v>4</v>
      </c>
    </row>
    <row r="123" spans="1:11" x14ac:dyDescent="0.3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15</v>
      </c>
      <c r="K123">
        <v>5</v>
      </c>
    </row>
    <row r="124" spans="1:11" x14ac:dyDescent="0.3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15</v>
      </c>
      <c r="K124">
        <v>5</v>
      </c>
    </row>
    <row r="125" spans="1:11" x14ac:dyDescent="0.3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13</v>
      </c>
      <c r="K125">
        <v>5</v>
      </c>
    </row>
    <row r="126" spans="1:11" x14ac:dyDescent="0.3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13</v>
      </c>
      <c r="K126">
        <v>3</v>
      </c>
    </row>
    <row r="127" spans="1:11" x14ac:dyDescent="0.3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13</v>
      </c>
      <c r="K127">
        <v>5</v>
      </c>
    </row>
    <row r="128" spans="1:11" x14ac:dyDescent="0.3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15</v>
      </c>
      <c r="K128">
        <v>4</v>
      </c>
    </row>
    <row r="129" spans="1:11" x14ac:dyDescent="0.3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15</v>
      </c>
      <c r="K129">
        <v>3</v>
      </c>
    </row>
    <row r="130" spans="1:11" x14ac:dyDescent="0.3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13</v>
      </c>
      <c r="K130">
        <v>2</v>
      </c>
    </row>
    <row r="131" spans="1:11" x14ac:dyDescent="0.3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15</v>
      </c>
      <c r="K131">
        <v>2</v>
      </c>
    </row>
    <row r="132" spans="1:11" x14ac:dyDescent="0.3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13</v>
      </c>
      <c r="K132">
        <v>5</v>
      </c>
    </row>
    <row r="133" spans="1:11" x14ac:dyDescent="0.3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15</v>
      </c>
      <c r="K133">
        <v>4</v>
      </c>
    </row>
    <row r="134" spans="1:11" x14ac:dyDescent="0.3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15</v>
      </c>
      <c r="K134">
        <v>2</v>
      </c>
    </row>
    <row r="135" spans="1:11" x14ac:dyDescent="0.3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13</v>
      </c>
      <c r="K135">
        <v>1</v>
      </c>
    </row>
    <row r="136" spans="1:11" x14ac:dyDescent="0.3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13</v>
      </c>
      <c r="K136">
        <v>1</v>
      </c>
    </row>
    <row r="137" spans="1:11" x14ac:dyDescent="0.3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15</v>
      </c>
      <c r="K137">
        <v>5</v>
      </c>
    </row>
    <row r="138" spans="1:11" x14ac:dyDescent="0.3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13</v>
      </c>
      <c r="K138">
        <v>1</v>
      </c>
    </row>
    <row r="139" spans="1:11" x14ac:dyDescent="0.3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15</v>
      </c>
      <c r="K139">
        <v>3</v>
      </c>
    </row>
    <row r="140" spans="1:11" x14ac:dyDescent="0.3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13</v>
      </c>
      <c r="K140">
        <v>5</v>
      </c>
    </row>
    <row r="141" spans="1:11" x14ac:dyDescent="0.3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13</v>
      </c>
      <c r="K141">
        <v>5</v>
      </c>
    </row>
    <row r="142" spans="1:11" x14ac:dyDescent="0.3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15</v>
      </c>
      <c r="K142">
        <v>3</v>
      </c>
    </row>
    <row r="143" spans="1:11" x14ac:dyDescent="0.3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13</v>
      </c>
      <c r="K143">
        <v>4</v>
      </c>
    </row>
    <row r="144" spans="1:11" x14ac:dyDescent="0.3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15</v>
      </c>
      <c r="K144">
        <v>2</v>
      </c>
    </row>
    <row r="145" spans="1:11" x14ac:dyDescent="0.3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13</v>
      </c>
      <c r="K145">
        <v>1</v>
      </c>
    </row>
    <row r="146" spans="1:11" x14ac:dyDescent="0.3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15</v>
      </c>
      <c r="K146">
        <v>5</v>
      </c>
    </row>
    <row r="147" spans="1:11" x14ac:dyDescent="0.3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13</v>
      </c>
      <c r="K147">
        <v>3</v>
      </c>
    </row>
    <row r="148" spans="1:11" x14ac:dyDescent="0.3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13</v>
      </c>
      <c r="K148">
        <v>4</v>
      </c>
    </row>
    <row r="149" spans="1:11" x14ac:dyDescent="0.3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13</v>
      </c>
      <c r="K149">
        <v>1</v>
      </c>
    </row>
    <row r="150" spans="1:11" x14ac:dyDescent="0.3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13</v>
      </c>
      <c r="K150">
        <v>3</v>
      </c>
    </row>
    <row r="151" spans="1:11" x14ac:dyDescent="0.3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13</v>
      </c>
      <c r="K151">
        <v>2</v>
      </c>
    </row>
    <row r="152" spans="1:11" x14ac:dyDescent="0.3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13</v>
      </c>
      <c r="K152">
        <v>5</v>
      </c>
    </row>
    <row r="153" spans="1:11" x14ac:dyDescent="0.3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15</v>
      </c>
      <c r="K153">
        <v>1</v>
      </c>
    </row>
    <row r="154" spans="1:11" x14ac:dyDescent="0.3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15</v>
      </c>
      <c r="K154">
        <v>2</v>
      </c>
    </row>
    <row r="155" spans="1:11" x14ac:dyDescent="0.3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15</v>
      </c>
      <c r="K155">
        <v>4</v>
      </c>
    </row>
    <row r="156" spans="1:11" x14ac:dyDescent="0.3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15</v>
      </c>
      <c r="K156">
        <v>1</v>
      </c>
    </row>
    <row r="157" spans="1:11" x14ac:dyDescent="0.3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13</v>
      </c>
      <c r="K157">
        <v>2</v>
      </c>
    </row>
    <row r="158" spans="1:11" x14ac:dyDescent="0.3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13</v>
      </c>
      <c r="K158">
        <v>1</v>
      </c>
    </row>
    <row r="159" spans="1:11" x14ac:dyDescent="0.3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13</v>
      </c>
      <c r="K159">
        <v>4</v>
      </c>
    </row>
    <row r="160" spans="1:11" x14ac:dyDescent="0.3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13</v>
      </c>
      <c r="K160">
        <v>4</v>
      </c>
    </row>
    <row r="161" spans="1:11" x14ac:dyDescent="0.3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13</v>
      </c>
      <c r="K161">
        <v>2</v>
      </c>
    </row>
    <row r="162" spans="1:11" x14ac:dyDescent="0.3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15</v>
      </c>
      <c r="K162">
        <v>1</v>
      </c>
    </row>
    <row r="163" spans="1:11" x14ac:dyDescent="0.3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13</v>
      </c>
      <c r="K163">
        <v>1</v>
      </c>
    </row>
    <row r="164" spans="1:11" x14ac:dyDescent="0.3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13</v>
      </c>
      <c r="K164">
        <v>4</v>
      </c>
    </row>
    <row r="165" spans="1:11" x14ac:dyDescent="0.3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13</v>
      </c>
      <c r="K165">
        <v>1</v>
      </c>
    </row>
    <row r="166" spans="1:11" x14ac:dyDescent="0.3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15</v>
      </c>
      <c r="K166">
        <v>3</v>
      </c>
    </row>
    <row r="167" spans="1:11" x14ac:dyDescent="0.3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15</v>
      </c>
      <c r="K167">
        <v>5</v>
      </c>
    </row>
    <row r="168" spans="1:11" x14ac:dyDescent="0.3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13</v>
      </c>
      <c r="K168">
        <v>5</v>
      </c>
    </row>
    <row r="169" spans="1:11" x14ac:dyDescent="0.3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13</v>
      </c>
      <c r="K169">
        <v>1</v>
      </c>
    </row>
    <row r="170" spans="1:11" x14ac:dyDescent="0.3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15</v>
      </c>
      <c r="K170">
        <v>3</v>
      </c>
    </row>
    <row r="171" spans="1:11" x14ac:dyDescent="0.3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13</v>
      </c>
      <c r="K171">
        <v>5</v>
      </c>
    </row>
    <row r="172" spans="1:11" x14ac:dyDescent="0.3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13</v>
      </c>
      <c r="K172">
        <v>2</v>
      </c>
    </row>
    <row r="173" spans="1:11" x14ac:dyDescent="0.3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13</v>
      </c>
      <c r="K173">
        <v>1</v>
      </c>
    </row>
    <row r="174" spans="1:11" x14ac:dyDescent="0.3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15</v>
      </c>
      <c r="K174">
        <v>2</v>
      </c>
    </row>
    <row r="175" spans="1:11" x14ac:dyDescent="0.3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15</v>
      </c>
      <c r="K175">
        <v>4</v>
      </c>
    </row>
    <row r="176" spans="1:11" x14ac:dyDescent="0.3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15</v>
      </c>
      <c r="K176">
        <v>1</v>
      </c>
    </row>
    <row r="177" spans="1:11" x14ac:dyDescent="0.3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15</v>
      </c>
      <c r="K177">
        <v>3</v>
      </c>
    </row>
    <row r="178" spans="1:11" x14ac:dyDescent="0.3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13</v>
      </c>
      <c r="K178">
        <v>3</v>
      </c>
    </row>
    <row r="179" spans="1:11" x14ac:dyDescent="0.3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15</v>
      </c>
      <c r="K179">
        <v>3</v>
      </c>
    </row>
    <row r="180" spans="1:11" x14ac:dyDescent="0.3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13</v>
      </c>
      <c r="K180">
        <v>3</v>
      </c>
    </row>
    <row r="181" spans="1:11" x14ac:dyDescent="0.3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13</v>
      </c>
      <c r="K181">
        <v>5</v>
      </c>
    </row>
    <row r="182" spans="1:11" x14ac:dyDescent="0.3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13</v>
      </c>
      <c r="K182">
        <v>2</v>
      </c>
    </row>
    <row r="183" spans="1:11" x14ac:dyDescent="0.3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13</v>
      </c>
      <c r="K183">
        <v>4</v>
      </c>
    </row>
    <row r="184" spans="1:11" x14ac:dyDescent="0.3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15</v>
      </c>
      <c r="K184">
        <v>5</v>
      </c>
    </row>
    <row r="185" spans="1:11" x14ac:dyDescent="0.3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15</v>
      </c>
      <c r="K185">
        <v>1</v>
      </c>
    </row>
    <row r="186" spans="1:11" x14ac:dyDescent="0.3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15</v>
      </c>
      <c r="K186">
        <v>5</v>
      </c>
    </row>
    <row r="187" spans="1:11" x14ac:dyDescent="0.3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13</v>
      </c>
      <c r="K187">
        <v>5</v>
      </c>
    </row>
    <row r="188" spans="1:11" x14ac:dyDescent="0.3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15</v>
      </c>
      <c r="K188">
        <v>4</v>
      </c>
    </row>
    <row r="189" spans="1:11" x14ac:dyDescent="0.3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13</v>
      </c>
      <c r="K189">
        <v>1</v>
      </c>
    </row>
    <row r="190" spans="1:11" x14ac:dyDescent="0.3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15</v>
      </c>
      <c r="K190">
        <v>2</v>
      </c>
    </row>
    <row r="191" spans="1:11" x14ac:dyDescent="0.3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15</v>
      </c>
      <c r="K191">
        <v>1</v>
      </c>
    </row>
    <row r="192" spans="1:11" x14ac:dyDescent="0.3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13</v>
      </c>
      <c r="K192">
        <v>2</v>
      </c>
    </row>
    <row r="193" spans="1:11" x14ac:dyDescent="0.3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13</v>
      </c>
      <c r="K193">
        <v>1</v>
      </c>
    </row>
    <row r="194" spans="1:11" x14ac:dyDescent="0.3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15</v>
      </c>
      <c r="K194">
        <v>4</v>
      </c>
    </row>
    <row r="195" spans="1:11" x14ac:dyDescent="0.3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13</v>
      </c>
      <c r="K195">
        <v>3</v>
      </c>
    </row>
    <row r="196" spans="1:11" x14ac:dyDescent="0.3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15</v>
      </c>
      <c r="K196">
        <v>4</v>
      </c>
    </row>
    <row r="197" spans="1:11" x14ac:dyDescent="0.3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15</v>
      </c>
      <c r="K197">
        <v>3</v>
      </c>
    </row>
    <row r="198" spans="1:11" x14ac:dyDescent="0.3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13</v>
      </c>
      <c r="K198">
        <v>3</v>
      </c>
    </row>
    <row r="199" spans="1:11" x14ac:dyDescent="0.3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15</v>
      </c>
      <c r="K199">
        <v>2</v>
      </c>
    </row>
    <row r="200" spans="1:11" x14ac:dyDescent="0.3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13</v>
      </c>
      <c r="K200">
        <v>1</v>
      </c>
    </row>
    <row r="201" spans="1:11" x14ac:dyDescent="0.3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15</v>
      </c>
      <c r="K201">
        <v>2</v>
      </c>
    </row>
    <row r="202" spans="1:11" x14ac:dyDescent="0.3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15</v>
      </c>
      <c r="K202">
        <v>5</v>
      </c>
    </row>
    <row r="203" spans="1:11" x14ac:dyDescent="0.3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15</v>
      </c>
      <c r="K203">
        <v>2</v>
      </c>
    </row>
    <row r="204" spans="1:11" x14ac:dyDescent="0.3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13</v>
      </c>
      <c r="K204">
        <v>1</v>
      </c>
    </row>
    <row r="205" spans="1:11" x14ac:dyDescent="0.3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13</v>
      </c>
      <c r="K205">
        <v>1</v>
      </c>
    </row>
    <row r="206" spans="1:11" x14ac:dyDescent="0.3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13</v>
      </c>
      <c r="K206">
        <v>2</v>
      </c>
    </row>
    <row r="207" spans="1:11" x14ac:dyDescent="0.3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13</v>
      </c>
      <c r="K207">
        <v>4</v>
      </c>
    </row>
    <row r="208" spans="1:11" x14ac:dyDescent="0.3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15</v>
      </c>
      <c r="K208">
        <v>1</v>
      </c>
    </row>
    <row r="209" spans="1:11" x14ac:dyDescent="0.3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13</v>
      </c>
      <c r="K209">
        <v>2</v>
      </c>
    </row>
    <row r="210" spans="1:11" x14ac:dyDescent="0.3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13</v>
      </c>
      <c r="K210">
        <v>5</v>
      </c>
    </row>
    <row r="211" spans="1:11" x14ac:dyDescent="0.3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15</v>
      </c>
      <c r="K211">
        <v>3</v>
      </c>
    </row>
    <row r="212" spans="1:11" x14ac:dyDescent="0.3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15</v>
      </c>
      <c r="K212">
        <v>4</v>
      </c>
    </row>
    <row r="213" spans="1:11" x14ac:dyDescent="0.3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13</v>
      </c>
      <c r="K213">
        <v>5</v>
      </c>
    </row>
    <row r="214" spans="1:11" x14ac:dyDescent="0.3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13</v>
      </c>
      <c r="K214">
        <v>2</v>
      </c>
    </row>
    <row r="215" spans="1:11" x14ac:dyDescent="0.3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13</v>
      </c>
      <c r="K215">
        <v>1</v>
      </c>
    </row>
    <row r="216" spans="1:11" x14ac:dyDescent="0.3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15</v>
      </c>
      <c r="K216">
        <v>2</v>
      </c>
    </row>
    <row r="217" spans="1:11" x14ac:dyDescent="0.3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13</v>
      </c>
      <c r="K217">
        <v>5</v>
      </c>
    </row>
    <row r="218" spans="1:11" x14ac:dyDescent="0.3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13</v>
      </c>
      <c r="K218">
        <v>4</v>
      </c>
    </row>
    <row r="219" spans="1:11" x14ac:dyDescent="0.3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13</v>
      </c>
      <c r="K219">
        <v>5</v>
      </c>
    </row>
    <row r="220" spans="1:11" x14ac:dyDescent="0.3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15</v>
      </c>
      <c r="K220">
        <v>5</v>
      </c>
    </row>
    <row r="221" spans="1:11" x14ac:dyDescent="0.3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13</v>
      </c>
      <c r="K221">
        <v>2</v>
      </c>
    </row>
    <row r="222" spans="1:11" x14ac:dyDescent="0.3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13</v>
      </c>
      <c r="K222">
        <v>4</v>
      </c>
    </row>
    <row r="223" spans="1:11" x14ac:dyDescent="0.3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13</v>
      </c>
      <c r="K223">
        <v>2</v>
      </c>
    </row>
    <row r="224" spans="1:11" x14ac:dyDescent="0.3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15</v>
      </c>
      <c r="K224">
        <v>4</v>
      </c>
    </row>
    <row r="225" spans="1:11" x14ac:dyDescent="0.3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15</v>
      </c>
      <c r="K225">
        <v>5</v>
      </c>
    </row>
    <row r="226" spans="1:11" x14ac:dyDescent="0.3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13</v>
      </c>
      <c r="K226">
        <v>2</v>
      </c>
    </row>
    <row r="227" spans="1:11" x14ac:dyDescent="0.3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15</v>
      </c>
      <c r="K227">
        <v>5</v>
      </c>
    </row>
    <row r="228" spans="1:11" x14ac:dyDescent="0.3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13</v>
      </c>
      <c r="K228">
        <v>4</v>
      </c>
    </row>
    <row r="229" spans="1:11" x14ac:dyDescent="0.3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15</v>
      </c>
      <c r="K229">
        <v>3</v>
      </c>
    </row>
    <row r="230" spans="1:11" x14ac:dyDescent="0.3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13</v>
      </c>
      <c r="K230">
        <v>2</v>
      </c>
    </row>
    <row r="231" spans="1:11" x14ac:dyDescent="0.3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13</v>
      </c>
      <c r="K231">
        <v>4</v>
      </c>
    </row>
    <row r="232" spans="1:11" x14ac:dyDescent="0.3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13</v>
      </c>
      <c r="K232">
        <v>2</v>
      </c>
    </row>
    <row r="233" spans="1:11" x14ac:dyDescent="0.3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13</v>
      </c>
      <c r="K233">
        <v>5</v>
      </c>
    </row>
    <row r="234" spans="1:11" x14ac:dyDescent="0.3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13</v>
      </c>
      <c r="K234">
        <v>5</v>
      </c>
    </row>
    <row r="235" spans="1:11" x14ac:dyDescent="0.3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15</v>
      </c>
      <c r="K235">
        <v>2</v>
      </c>
    </row>
    <row r="236" spans="1:11" x14ac:dyDescent="0.3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13</v>
      </c>
      <c r="K236">
        <v>2</v>
      </c>
    </row>
    <row r="237" spans="1:11" x14ac:dyDescent="0.3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15</v>
      </c>
      <c r="K237">
        <v>1</v>
      </c>
    </row>
    <row r="238" spans="1:11" x14ac:dyDescent="0.3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15</v>
      </c>
      <c r="K238">
        <v>5</v>
      </c>
    </row>
    <row r="239" spans="1:11" x14ac:dyDescent="0.3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15</v>
      </c>
      <c r="K239">
        <v>4</v>
      </c>
    </row>
    <row r="240" spans="1:11" x14ac:dyDescent="0.3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13</v>
      </c>
      <c r="K240">
        <v>1</v>
      </c>
    </row>
    <row r="241" spans="1:11" x14ac:dyDescent="0.3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15</v>
      </c>
      <c r="K241">
        <v>5</v>
      </c>
    </row>
    <row r="242" spans="1:11" x14ac:dyDescent="0.3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15</v>
      </c>
      <c r="K242">
        <v>1</v>
      </c>
    </row>
    <row r="243" spans="1:11" x14ac:dyDescent="0.3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15</v>
      </c>
      <c r="K243">
        <v>5</v>
      </c>
    </row>
    <row r="244" spans="1:11" x14ac:dyDescent="0.3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13</v>
      </c>
      <c r="K244">
        <v>2</v>
      </c>
    </row>
    <row r="245" spans="1:11" x14ac:dyDescent="0.3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13</v>
      </c>
      <c r="K245">
        <v>4</v>
      </c>
    </row>
    <row r="246" spans="1:11" x14ac:dyDescent="0.3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13</v>
      </c>
      <c r="K246">
        <v>1</v>
      </c>
    </row>
    <row r="247" spans="1:11" x14ac:dyDescent="0.3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13</v>
      </c>
      <c r="K247">
        <v>3</v>
      </c>
    </row>
    <row r="248" spans="1:11" x14ac:dyDescent="0.3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13</v>
      </c>
      <c r="K248">
        <v>1</v>
      </c>
    </row>
    <row r="249" spans="1:11" x14ac:dyDescent="0.3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13</v>
      </c>
      <c r="K249">
        <v>4</v>
      </c>
    </row>
    <row r="250" spans="1:11" x14ac:dyDescent="0.3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15</v>
      </c>
      <c r="K250">
        <v>2</v>
      </c>
    </row>
    <row r="251" spans="1:11" x14ac:dyDescent="0.3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15</v>
      </c>
      <c r="K251">
        <v>1</v>
      </c>
    </row>
    <row r="252" spans="1:11" x14ac:dyDescent="0.3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15</v>
      </c>
      <c r="K252">
        <v>1</v>
      </c>
    </row>
    <row r="253" spans="1:11" x14ac:dyDescent="0.3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15</v>
      </c>
      <c r="K253">
        <v>4</v>
      </c>
    </row>
    <row r="254" spans="1:11" x14ac:dyDescent="0.3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13</v>
      </c>
      <c r="K254">
        <v>5</v>
      </c>
    </row>
    <row r="255" spans="1:11" x14ac:dyDescent="0.3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15</v>
      </c>
      <c r="K255">
        <v>2</v>
      </c>
    </row>
    <row r="256" spans="1:11" x14ac:dyDescent="0.3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15</v>
      </c>
      <c r="K256">
        <v>1</v>
      </c>
    </row>
    <row r="257" spans="1:11" x14ac:dyDescent="0.3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15</v>
      </c>
      <c r="K257">
        <v>4</v>
      </c>
    </row>
    <row r="258" spans="1:11" x14ac:dyDescent="0.3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13</v>
      </c>
      <c r="K258">
        <v>4</v>
      </c>
    </row>
    <row r="259" spans="1:11" x14ac:dyDescent="0.3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15</v>
      </c>
      <c r="K259">
        <v>3</v>
      </c>
    </row>
    <row r="260" spans="1:11" x14ac:dyDescent="0.3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13</v>
      </c>
      <c r="K260">
        <v>3</v>
      </c>
    </row>
    <row r="261" spans="1:11" x14ac:dyDescent="0.3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15</v>
      </c>
      <c r="K261">
        <v>5</v>
      </c>
    </row>
    <row r="262" spans="1:11" x14ac:dyDescent="0.3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15</v>
      </c>
      <c r="K262">
        <v>1</v>
      </c>
    </row>
    <row r="263" spans="1:11" x14ac:dyDescent="0.3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15</v>
      </c>
      <c r="K263">
        <v>4</v>
      </c>
    </row>
    <row r="264" spans="1:11" x14ac:dyDescent="0.3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15</v>
      </c>
      <c r="K264">
        <v>5</v>
      </c>
    </row>
    <row r="265" spans="1:11" x14ac:dyDescent="0.3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13</v>
      </c>
      <c r="K265">
        <v>1</v>
      </c>
    </row>
    <row r="266" spans="1:11" x14ac:dyDescent="0.3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15</v>
      </c>
      <c r="K266">
        <v>4</v>
      </c>
    </row>
    <row r="267" spans="1:11" x14ac:dyDescent="0.3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13</v>
      </c>
      <c r="K267">
        <v>5</v>
      </c>
    </row>
    <row r="268" spans="1:11" x14ac:dyDescent="0.3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15</v>
      </c>
      <c r="K268">
        <v>3</v>
      </c>
    </row>
    <row r="269" spans="1:11" x14ac:dyDescent="0.3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13</v>
      </c>
      <c r="K269">
        <v>5</v>
      </c>
    </row>
    <row r="270" spans="1:11" x14ac:dyDescent="0.3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13</v>
      </c>
      <c r="K270">
        <v>3</v>
      </c>
    </row>
    <row r="271" spans="1:11" x14ac:dyDescent="0.3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13</v>
      </c>
      <c r="K271">
        <v>4</v>
      </c>
    </row>
    <row r="272" spans="1:11" x14ac:dyDescent="0.3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15</v>
      </c>
      <c r="K272">
        <v>4</v>
      </c>
    </row>
    <row r="273" spans="1:11" x14ac:dyDescent="0.3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13</v>
      </c>
      <c r="K273">
        <v>3</v>
      </c>
    </row>
    <row r="274" spans="1:11" x14ac:dyDescent="0.3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15</v>
      </c>
      <c r="K274">
        <v>2</v>
      </c>
    </row>
    <row r="275" spans="1:11" x14ac:dyDescent="0.3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13</v>
      </c>
      <c r="K275">
        <v>2</v>
      </c>
    </row>
    <row r="276" spans="1:11" x14ac:dyDescent="0.3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13</v>
      </c>
      <c r="K276">
        <v>2</v>
      </c>
    </row>
    <row r="277" spans="1:11" x14ac:dyDescent="0.3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13</v>
      </c>
      <c r="K277">
        <v>5</v>
      </c>
    </row>
    <row r="278" spans="1:11" x14ac:dyDescent="0.3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15</v>
      </c>
      <c r="K278">
        <v>3</v>
      </c>
    </row>
    <row r="279" spans="1:11" x14ac:dyDescent="0.3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13</v>
      </c>
      <c r="K279">
        <v>3</v>
      </c>
    </row>
    <row r="280" spans="1:11" x14ac:dyDescent="0.3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13</v>
      </c>
      <c r="K280">
        <v>1</v>
      </c>
    </row>
    <row r="281" spans="1:11" x14ac:dyDescent="0.3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15</v>
      </c>
      <c r="K281">
        <v>4</v>
      </c>
    </row>
    <row r="282" spans="1:11" x14ac:dyDescent="0.3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13</v>
      </c>
      <c r="K282">
        <v>1</v>
      </c>
    </row>
    <row r="283" spans="1:11" x14ac:dyDescent="0.3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15</v>
      </c>
      <c r="K283">
        <v>1</v>
      </c>
    </row>
    <row r="284" spans="1:11" x14ac:dyDescent="0.3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13</v>
      </c>
      <c r="K284">
        <v>4</v>
      </c>
    </row>
    <row r="285" spans="1:11" x14ac:dyDescent="0.3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15</v>
      </c>
      <c r="K285">
        <v>1</v>
      </c>
    </row>
    <row r="286" spans="1:11" x14ac:dyDescent="0.3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13</v>
      </c>
      <c r="K286">
        <v>4</v>
      </c>
    </row>
    <row r="287" spans="1:11" x14ac:dyDescent="0.3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13</v>
      </c>
      <c r="K287">
        <v>5</v>
      </c>
    </row>
    <row r="288" spans="1:11" x14ac:dyDescent="0.3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15</v>
      </c>
      <c r="K288">
        <v>4</v>
      </c>
    </row>
    <row r="289" spans="1:11" x14ac:dyDescent="0.3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15</v>
      </c>
      <c r="K289">
        <v>3</v>
      </c>
    </row>
    <row r="290" spans="1:11" x14ac:dyDescent="0.3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13</v>
      </c>
      <c r="K290">
        <v>2</v>
      </c>
    </row>
    <row r="291" spans="1:11" x14ac:dyDescent="0.3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13</v>
      </c>
      <c r="K291">
        <v>1</v>
      </c>
    </row>
    <row r="292" spans="1:11" x14ac:dyDescent="0.3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13</v>
      </c>
      <c r="K292">
        <v>4</v>
      </c>
    </row>
    <row r="293" spans="1:11" x14ac:dyDescent="0.3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13</v>
      </c>
      <c r="K293">
        <v>1</v>
      </c>
    </row>
    <row r="294" spans="1:11" x14ac:dyDescent="0.3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15</v>
      </c>
      <c r="K294">
        <v>1</v>
      </c>
    </row>
    <row r="295" spans="1:11" x14ac:dyDescent="0.3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15</v>
      </c>
      <c r="K295">
        <v>3</v>
      </c>
    </row>
    <row r="296" spans="1:11" x14ac:dyDescent="0.3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13</v>
      </c>
      <c r="K296">
        <v>5</v>
      </c>
    </row>
    <row r="297" spans="1:11" x14ac:dyDescent="0.3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13</v>
      </c>
      <c r="K297">
        <v>1</v>
      </c>
    </row>
    <row r="298" spans="1:11" x14ac:dyDescent="0.3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15</v>
      </c>
      <c r="K298">
        <v>4</v>
      </c>
    </row>
    <row r="299" spans="1:11" x14ac:dyDescent="0.3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15</v>
      </c>
      <c r="K299">
        <v>2</v>
      </c>
    </row>
    <row r="300" spans="1:11" x14ac:dyDescent="0.3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13</v>
      </c>
      <c r="K300">
        <v>3</v>
      </c>
    </row>
    <row r="301" spans="1:11" x14ac:dyDescent="0.3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15</v>
      </c>
      <c r="K301">
        <v>2</v>
      </c>
    </row>
    <row r="302" spans="1:11" x14ac:dyDescent="0.3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13</v>
      </c>
      <c r="K302">
        <v>4</v>
      </c>
    </row>
    <row r="303" spans="1:11" x14ac:dyDescent="0.3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15</v>
      </c>
      <c r="K303">
        <v>3</v>
      </c>
    </row>
    <row r="304" spans="1:11" x14ac:dyDescent="0.3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15</v>
      </c>
      <c r="K304">
        <v>4</v>
      </c>
    </row>
    <row r="305" spans="1:11" x14ac:dyDescent="0.3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15</v>
      </c>
      <c r="K305">
        <v>5</v>
      </c>
    </row>
    <row r="306" spans="1:11" x14ac:dyDescent="0.3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15</v>
      </c>
      <c r="K306">
        <v>2</v>
      </c>
    </row>
    <row r="307" spans="1:11" x14ac:dyDescent="0.3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13</v>
      </c>
      <c r="K307">
        <v>2</v>
      </c>
    </row>
    <row r="308" spans="1:11" x14ac:dyDescent="0.3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13</v>
      </c>
      <c r="K308">
        <v>3</v>
      </c>
    </row>
    <row r="309" spans="1:11" x14ac:dyDescent="0.3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15</v>
      </c>
      <c r="K309">
        <v>4</v>
      </c>
    </row>
    <row r="310" spans="1:11" x14ac:dyDescent="0.3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15</v>
      </c>
      <c r="K310">
        <v>3</v>
      </c>
    </row>
    <row r="311" spans="1:11" x14ac:dyDescent="0.3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13</v>
      </c>
      <c r="K311">
        <v>4</v>
      </c>
    </row>
    <row r="312" spans="1:11" x14ac:dyDescent="0.3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15</v>
      </c>
      <c r="K312">
        <v>3</v>
      </c>
    </row>
    <row r="313" spans="1:11" x14ac:dyDescent="0.3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15</v>
      </c>
      <c r="K313">
        <v>4</v>
      </c>
    </row>
    <row r="314" spans="1:11" x14ac:dyDescent="0.3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13</v>
      </c>
      <c r="K314">
        <v>2</v>
      </c>
    </row>
    <row r="315" spans="1:11" x14ac:dyDescent="0.3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15</v>
      </c>
      <c r="K315">
        <v>2</v>
      </c>
    </row>
    <row r="316" spans="1:11" x14ac:dyDescent="0.3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13</v>
      </c>
      <c r="K316">
        <v>3</v>
      </c>
    </row>
    <row r="317" spans="1:11" x14ac:dyDescent="0.3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15</v>
      </c>
      <c r="K317">
        <v>1</v>
      </c>
    </row>
    <row r="318" spans="1:11" x14ac:dyDescent="0.3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15</v>
      </c>
      <c r="K318">
        <v>3</v>
      </c>
    </row>
    <row r="319" spans="1:11" x14ac:dyDescent="0.3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15</v>
      </c>
      <c r="K319">
        <v>2</v>
      </c>
    </row>
    <row r="320" spans="1:11" x14ac:dyDescent="0.3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15</v>
      </c>
      <c r="K320">
        <v>4</v>
      </c>
    </row>
    <row r="321" spans="1:11" x14ac:dyDescent="0.3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13</v>
      </c>
      <c r="K321">
        <v>5</v>
      </c>
    </row>
    <row r="322" spans="1:11" x14ac:dyDescent="0.3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15</v>
      </c>
      <c r="K322">
        <v>3</v>
      </c>
    </row>
    <row r="323" spans="1:11" x14ac:dyDescent="0.3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15</v>
      </c>
      <c r="K323">
        <v>3</v>
      </c>
    </row>
    <row r="324" spans="1:11" x14ac:dyDescent="0.3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15</v>
      </c>
      <c r="K324">
        <v>4</v>
      </c>
    </row>
    <row r="325" spans="1:11" x14ac:dyDescent="0.3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15</v>
      </c>
      <c r="K325">
        <v>1</v>
      </c>
    </row>
    <row r="326" spans="1:11" x14ac:dyDescent="0.3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13</v>
      </c>
      <c r="K326">
        <v>4</v>
      </c>
    </row>
    <row r="327" spans="1:11" x14ac:dyDescent="0.3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15</v>
      </c>
      <c r="K327">
        <v>3</v>
      </c>
    </row>
    <row r="328" spans="1:11" x14ac:dyDescent="0.3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13</v>
      </c>
      <c r="K328">
        <v>3</v>
      </c>
    </row>
    <row r="329" spans="1:11" x14ac:dyDescent="0.3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15</v>
      </c>
      <c r="K329">
        <v>1</v>
      </c>
    </row>
    <row r="330" spans="1:11" x14ac:dyDescent="0.3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15</v>
      </c>
      <c r="K330">
        <v>1</v>
      </c>
    </row>
    <row r="331" spans="1:11" x14ac:dyDescent="0.3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15</v>
      </c>
      <c r="K331">
        <v>5</v>
      </c>
    </row>
    <row r="332" spans="1:11" x14ac:dyDescent="0.3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15</v>
      </c>
      <c r="K332">
        <v>3</v>
      </c>
    </row>
    <row r="333" spans="1:11" x14ac:dyDescent="0.3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15</v>
      </c>
      <c r="K333">
        <v>2</v>
      </c>
    </row>
    <row r="334" spans="1:11" x14ac:dyDescent="0.3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13</v>
      </c>
      <c r="K334">
        <v>3</v>
      </c>
    </row>
    <row r="335" spans="1:11" x14ac:dyDescent="0.3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15</v>
      </c>
      <c r="K335">
        <v>4</v>
      </c>
    </row>
    <row r="336" spans="1:11" x14ac:dyDescent="0.3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15</v>
      </c>
      <c r="K336">
        <v>1</v>
      </c>
    </row>
    <row r="337" spans="1:11" x14ac:dyDescent="0.3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15</v>
      </c>
      <c r="K337">
        <v>5</v>
      </c>
    </row>
    <row r="338" spans="1:11" x14ac:dyDescent="0.3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13</v>
      </c>
      <c r="K338">
        <v>4</v>
      </c>
    </row>
    <row r="339" spans="1:11" x14ac:dyDescent="0.3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13</v>
      </c>
      <c r="K339">
        <v>1</v>
      </c>
    </row>
    <row r="340" spans="1:11" x14ac:dyDescent="0.3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13</v>
      </c>
      <c r="K340">
        <v>4</v>
      </c>
    </row>
    <row r="341" spans="1:11" x14ac:dyDescent="0.3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13</v>
      </c>
      <c r="K341">
        <v>1</v>
      </c>
    </row>
    <row r="342" spans="1:11" x14ac:dyDescent="0.3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13</v>
      </c>
      <c r="K342">
        <v>1</v>
      </c>
    </row>
    <row r="343" spans="1:11" x14ac:dyDescent="0.3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15</v>
      </c>
      <c r="K343">
        <v>5</v>
      </c>
    </row>
    <row r="344" spans="1:11" x14ac:dyDescent="0.3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13</v>
      </c>
      <c r="K344">
        <v>5</v>
      </c>
    </row>
    <row r="345" spans="1:11" x14ac:dyDescent="0.3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15</v>
      </c>
      <c r="K345">
        <v>3</v>
      </c>
    </row>
    <row r="346" spans="1:11" x14ac:dyDescent="0.3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13</v>
      </c>
      <c r="K346">
        <v>3</v>
      </c>
    </row>
    <row r="347" spans="1:11" x14ac:dyDescent="0.3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15</v>
      </c>
      <c r="K347">
        <v>4</v>
      </c>
    </row>
    <row r="348" spans="1:11" x14ac:dyDescent="0.3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15</v>
      </c>
      <c r="K348">
        <v>2</v>
      </c>
    </row>
    <row r="349" spans="1:11" x14ac:dyDescent="0.3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13</v>
      </c>
      <c r="K349">
        <v>1</v>
      </c>
    </row>
    <row r="350" spans="1:11" x14ac:dyDescent="0.3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13</v>
      </c>
      <c r="K350">
        <v>2</v>
      </c>
    </row>
    <row r="351" spans="1:11" x14ac:dyDescent="0.3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13</v>
      </c>
      <c r="K351">
        <v>4</v>
      </c>
    </row>
    <row r="352" spans="1:11" x14ac:dyDescent="0.3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13</v>
      </c>
      <c r="K352">
        <v>4</v>
      </c>
    </row>
    <row r="353" spans="1:11" x14ac:dyDescent="0.3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15</v>
      </c>
      <c r="K353">
        <v>1</v>
      </c>
    </row>
    <row r="354" spans="1:11" x14ac:dyDescent="0.3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15</v>
      </c>
      <c r="K354">
        <v>3</v>
      </c>
    </row>
    <row r="355" spans="1:11" x14ac:dyDescent="0.3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15</v>
      </c>
      <c r="K355">
        <v>4</v>
      </c>
    </row>
    <row r="356" spans="1:11" x14ac:dyDescent="0.3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15</v>
      </c>
      <c r="K356">
        <v>1</v>
      </c>
    </row>
    <row r="357" spans="1:11" x14ac:dyDescent="0.3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13</v>
      </c>
      <c r="K357">
        <v>1</v>
      </c>
    </row>
    <row r="358" spans="1:11" x14ac:dyDescent="0.3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15</v>
      </c>
      <c r="K358">
        <v>3</v>
      </c>
    </row>
    <row r="359" spans="1:11" x14ac:dyDescent="0.3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15</v>
      </c>
      <c r="K359">
        <v>5</v>
      </c>
    </row>
    <row r="360" spans="1:11" x14ac:dyDescent="0.3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15</v>
      </c>
      <c r="K360">
        <v>1</v>
      </c>
    </row>
    <row r="361" spans="1:11" x14ac:dyDescent="0.3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15</v>
      </c>
      <c r="K361">
        <v>3</v>
      </c>
    </row>
    <row r="362" spans="1:11" x14ac:dyDescent="0.3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13</v>
      </c>
      <c r="K362">
        <v>5</v>
      </c>
    </row>
    <row r="363" spans="1:11" x14ac:dyDescent="0.3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13</v>
      </c>
      <c r="K363">
        <v>5</v>
      </c>
    </row>
    <row r="364" spans="1:11" x14ac:dyDescent="0.3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15</v>
      </c>
      <c r="K364">
        <v>1</v>
      </c>
    </row>
    <row r="365" spans="1:11" x14ac:dyDescent="0.3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13</v>
      </c>
      <c r="K365">
        <v>4</v>
      </c>
    </row>
    <row r="366" spans="1:11" x14ac:dyDescent="0.3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13</v>
      </c>
      <c r="K366">
        <v>5</v>
      </c>
    </row>
    <row r="367" spans="1:11" x14ac:dyDescent="0.3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13</v>
      </c>
      <c r="K367">
        <v>4</v>
      </c>
    </row>
    <row r="368" spans="1:11" x14ac:dyDescent="0.3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15</v>
      </c>
      <c r="K368">
        <v>5</v>
      </c>
    </row>
    <row r="369" spans="1:11" x14ac:dyDescent="0.3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15</v>
      </c>
      <c r="K369">
        <v>5</v>
      </c>
    </row>
    <row r="370" spans="1:11" x14ac:dyDescent="0.3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15</v>
      </c>
      <c r="K370">
        <v>2</v>
      </c>
    </row>
    <row r="371" spans="1:11" x14ac:dyDescent="0.3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13</v>
      </c>
      <c r="K371">
        <v>2</v>
      </c>
    </row>
    <row r="372" spans="1:11" x14ac:dyDescent="0.3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15</v>
      </c>
      <c r="K372">
        <v>5</v>
      </c>
    </row>
    <row r="373" spans="1:11" x14ac:dyDescent="0.3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13</v>
      </c>
      <c r="K373">
        <v>5</v>
      </c>
    </row>
    <row r="374" spans="1:11" x14ac:dyDescent="0.3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15</v>
      </c>
      <c r="K374">
        <v>5</v>
      </c>
    </row>
    <row r="375" spans="1:11" x14ac:dyDescent="0.3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15</v>
      </c>
      <c r="K375">
        <v>5</v>
      </c>
    </row>
    <row r="376" spans="1:11" x14ac:dyDescent="0.3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13</v>
      </c>
      <c r="K376">
        <v>1</v>
      </c>
    </row>
    <row r="377" spans="1:11" x14ac:dyDescent="0.3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13</v>
      </c>
      <c r="K377">
        <v>1</v>
      </c>
    </row>
    <row r="378" spans="1:11" x14ac:dyDescent="0.3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15</v>
      </c>
      <c r="K378">
        <v>1</v>
      </c>
    </row>
    <row r="379" spans="1:11" x14ac:dyDescent="0.3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15</v>
      </c>
      <c r="K379">
        <v>4</v>
      </c>
    </row>
    <row r="380" spans="1:11" x14ac:dyDescent="0.3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13</v>
      </c>
      <c r="K380">
        <v>5</v>
      </c>
    </row>
    <row r="381" spans="1:11" x14ac:dyDescent="0.3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13</v>
      </c>
      <c r="K381">
        <v>2</v>
      </c>
    </row>
    <row r="382" spans="1:11" x14ac:dyDescent="0.3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13</v>
      </c>
      <c r="K382">
        <v>3</v>
      </c>
    </row>
    <row r="383" spans="1:11" x14ac:dyDescent="0.3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13</v>
      </c>
      <c r="K383">
        <v>5</v>
      </c>
    </row>
    <row r="384" spans="1:11" x14ac:dyDescent="0.3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15</v>
      </c>
      <c r="K384">
        <v>1</v>
      </c>
    </row>
    <row r="385" spans="1:11" x14ac:dyDescent="0.3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13</v>
      </c>
      <c r="K385">
        <v>2</v>
      </c>
    </row>
    <row r="386" spans="1:11" x14ac:dyDescent="0.3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13</v>
      </c>
      <c r="K386">
        <v>2</v>
      </c>
    </row>
    <row r="387" spans="1:11" x14ac:dyDescent="0.3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15</v>
      </c>
      <c r="K387">
        <v>4</v>
      </c>
    </row>
    <row r="388" spans="1:11" x14ac:dyDescent="0.3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13</v>
      </c>
      <c r="K388">
        <v>2</v>
      </c>
    </row>
    <row r="389" spans="1:11" x14ac:dyDescent="0.3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13</v>
      </c>
      <c r="K389">
        <v>1</v>
      </c>
    </row>
    <row r="390" spans="1:11" x14ac:dyDescent="0.3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15</v>
      </c>
      <c r="K390">
        <v>5</v>
      </c>
    </row>
    <row r="391" spans="1:11" x14ac:dyDescent="0.3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15</v>
      </c>
      <c r="K391">
        <v>2</v>
      </c>
    </row>
    <row r="392" spans="1:11" x14ac:dyDescent="0.3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13</v>
      </c>
      <c r="K392">
        <v>4</v>
      </c>
    </row>
    <row r="393" spans="1:11" x14ac:dyDescent="0.3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13</v>
      </c>
      <c r="K393">
        <v>4</v>
      </c>
    </row>
    <row r="394" spans="1:11" x14ac:dyDescent="0.3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13</v>
      </c>
      <c r="K394">
        <v>2</v>
      </c>
    </row>
    <row r="395" spans="1:11" x14ac:dyDescent="0.3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13</v>
      </c>
      <c r="K395">
        <v>4</v>
      </c>
    </row>
    <row r="396" spans="1:11" x14ac:dyDescent="0.3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15</v>
      </c>
      <c r="K396">
        <v>5</v>
      </c>
    </row>
    <row r="397" spans="1:11" x14ac:dyDescent="0.3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13</v>
      </c>
      <c r="K397">
        <v>4</v>
      </c>
    </row>
    <row r="398" spans="1:11" x14ac:dyDescent="0.3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15</v>
      </c>
      <c r="K398">
        <v>1</v>
      </c>
    </row>
    <row r="399" spans="1:11" x14ac:dyDescent="0.3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13</v>
      </c>
      <c r="K399">
        <v>5</v>
      </c>
    </row>
    <row r="400" spans="1:11" x14ac:dyDescent="0.3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15</v>
      </c>
      <c r="K400">
        <v>1</v>
      </c>
    </row>
    <row r="401" spans="1:11" x14ac:dyDescent="0.3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13</v>
      </c>
      <c r="K401">
        <v>1</v>
      </c>
    </row>
    <row r="402" spans="1:11" x14ac:dyDescent="0.3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13</v>
      </c>
      <c r="K402">
        <v>5</v>
      </c>
    </row>
    <row r="403" spans="1:11" x14ac:dyDescent="0.3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13</v>
      </c>
      <c r="K403">
        <v>2</v>
      </c>
    </row>
    <row r="404" spans="1:11" x14ac:dyDescent="0.3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13</v>
      </c>
      <c r="K404">
        <v>4</v>
      </c>
    </row>
    <row r="405" spans="1:11" x14ac:dyDescent="0.3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15</v>
      </c>
      <c r="K405">
        <v>5</v>
      </c>
    </row>
    <row r="406" spans="1:11" x14ac:dyDescent="0.3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15</v>
      </c>
      <c r="K406">
        <v>5</v>
      </c>
    </row>
    <row r="407" spans="1:11" x14ac:dyDescent="0.3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15</v>
      </c>
      <c r="K407">
        <v>4</v>
      </c>
    </row>
    <row r="408" spans="1:11" x14ac:dyDescent="0.3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15</v>
      </c>
      <c r="K408">
        <v>2</v>
      </c>
    </row>
    <row r="409" spans="1:11" x14ac:dyDescent="0.3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15</v>
      </c>
      <c r="K409">
        <v>4</v>
      </c>
    </row>
    <row r="410" spans="1:11" x14ac:dyDescent="0.3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15</v>
      </c>
      <c r="K410">
        <v>4</v>
      </c>
    </row>
    <row r="411" spans="1:11" x14ac:dyDescent="0.3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13</v>
      </c>
      <c r="K411">
        <v>4</v>
      </c>
    </row>
    <row r="412" spans="1:11" x14ac:dyDescent="0.3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15</v>
      </c>
      <c r="K412">
        <v>5</v>
      </c>
    </row>
    <row r="413" spans="1:11" x14ac:dyDescent="0.3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13</v>
      </c>
      <c r="K413">
        <v>5</v>
      </c>
    </row>
    <row r="414" spans="1:11" x14ac:dyDescent="0.3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15</v>
      </c>
      <c r="K414">
        <v>3</v>
      </c>
    </row>
    <row r="415" spans="1:11" x14ac:dyDescent="0.3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13</v>
      </c>
      <c r="K415">
        <v>3</v>
      </c>
    </row>
    <row r="416" spans="1:11" x14ac:dyDescent="0.3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15</v>
      </c>
      <c r="K416">
        <v>2</v>
      </c>
    </row>
    <row r="417" spans="1:11" x14ac:dyDescent="0.3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13</v>
      </c>
      <c r="K417">
        <v>2</v>
      </c>
    </row>
    <row r="418" spans="1:11" x14ac:dyDescent="0.3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15</v>
      </c>
      <c r="K418">
        <v>3</v>
      </c>
    </row>
    <row r="419" spans="1:11" x14ac:dyDescent="0.3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15</v>
      </c>
      <c r="K419">
        <v>5</v>
      </c>
    </row>
    <row r="420" spans="1:11" x14ac:dyDescent="0.3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15</v>
      </c>
      <c r="K420">
        <v>3</v>
      </c>
    </row>
    <row r="421" spans="1:11" x14ac:dyDescent="0.3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13</v>
      </c>
      <c r="K421">
        <v>1</v>
      </c>
    </row>
    <row r="422" spans="1:11" x14ac:dyDescent="0.3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13</v>
      </c>
      <c r="K422">
        <v>1</v>
      </c>
    </row>
    <row r="423" spans="1:11" x14ac:dyDescent="0.3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13</v>
      </c>
      <c r="K423">
        <v>2</v>
      </c>
    </row>
    <row r="424" spans="1:11" x14ac:dyDescent="0.3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15</v>
      </c>
      <c r="K424">
        <v>4</v>
      </c>
    </row>
    <row r="425" spans="1:11" x14ac:dyDescent="0.3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15</v>
      </c>
      <c r="K425">
        <v>1</v>
      </c>
    </row>
    <row r="426" spans="1:11" x14ac:dyDescent="0.3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13</v>
      </c>
      <c r="K426">
        <v>3</v>
      </c>
    </row>
    <row r="427" spans="1:11" x14ac:dyDescent="0.3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13</v>
      </c>
      <c r="K427">
        <v>2</v>
      </c>
    </row>
    <row r="428" spans="1:11" x14ac:dyDescent="0.3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15</v>
      </c>
      <c r="K428">
        <v>2</v>
      </c>
    </row>
    <row r="429" spans="1:11" x14ac:dyDescent="0.3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13</v>
      </c>
      <c r="K429">
        <v>2</v>
      </c>
    </row>
    <row r="430" spans="1:11" x14ac:dyDescent="0.3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13</v>
      </c>
      <c r="K430">
        <v>2</v>
      </c>
    </row>
    <row r="431" spans="1:11" x14ac:dyDescent="0.3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13</v>
      </c>
      <c r="K431">
        <v>5</v>
      </c>
    </row>
    <row r="432" spans="1:11" x14ac:dyDescent="0.3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13</v>
      </c>
      <c r="K432">
        <v>3</v>
      </c>
    </row>
    <row r="433" spans="1:11" x14ac:dyDescent="0.3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13</v>
      </c>
      <c r="K433">
        <v>2</v>
      </c>
    </row>
    <row r="434" spans="1:11" x14ac:dyDescent="0.3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13</v>
      </c>
      <c r="K434">
        <v>5</v>
      </c>
    </row>
    <row r="435" spans="1:11" x14ac:dyDescent="0.3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13</v>
      </c>
      <c r="K435">
        <v>1</v>
      </c>
    </row>
    <row r="436" spans="1:11" x14ac:dyDescent="0.3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13</v>
      </c>
      <c r="K436">
        <v>5</v>
      </c>
    </row>
    <row r="437" spans="1:11" x14ac:dyDescent="0.3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15</v>
      </c>
      <c r="K437">
        <v>2</v>
      </c>
    </row>
    <row r="438" spans="1:11" x14ac:dyDescent="0.3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13</v>
      </c>
      <c r="K438">
        <v>3</v>
      </c>
    </row>
    <row r="439" spans="1:11" x14ac:dyDescent="0.3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13</v>
      </c>
      <c r="K439">
        <v>1</v>
      </c>
    </row>
    <row r="440" spans="1:11" x14ac:dyDescent="0.3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15</v>
      </c>
      <c r="K440">
        <v>2</v>
      </c>
    </row>
    <row r="441" spans="1:11" x14ac:dyDescent="0.3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13</v>
      </c>
      <c r="K441">
        <v>2</v>
      </c>
    </row>
    <row r="442" spans="1:11" x14ac:dyDescent="0.3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15</v>
      </c>
      <c r="K442">
        <v>3</v>
      </c>
    </row>
    <row r="443" spans="1:11" x14ac:dyDescent="0.3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13</v>
      </c>
      <c r="K443">
        <v>3</v>
      </c>
    </row>
    <row r="444" spans="1:11" x14ac:dyDescent="0.3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13</v>
      </c>
      <c r="K444">
        <v>1</v>
      </c>
    </row>
    <row r="445" spans="1:11" x14ac:dyDescent="0.3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15</v>
      </c>
      <c r="K445">
        <v>3</v>
      </c>
    </row>
    <row r="446" spans="1:11" x14ac:dyDescent="0.3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13</v>
      </c>
      <c r="K446">
        <v>5</v>
      </c>
    </row>
    <row r="447" spans="1:11" x14ac:dyDescent="0.3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13</v>
      </c>
      <c r="K447">
        <v>4</v>
      </c>
    </row>
    <row r="448" spans="1:11" x14ac:dyDescent="0.3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13</v>
      </c>
      <c r="K448">
        <v>5</v>
      </c>
    </row>
    <row r="449" spans="1:11" x14ac:dyDescent="0.3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13</v>
      </c>
      <c r="K449">
        <v>3</v>
      </c>
    </row>
    <row r="450" spans="1:11" x14ac:dyDescent="0.3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15</v>
      </c>
      <c r="K450">
        <v>2</v>
      </c>
    </row>
    <row r="451" spans="1:11" x14ac:dyDescent="0.3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15</v>
      </c>
      <c r="K451">
        <v>1</v>
      </c>
    </row>
    <row r="452" spans="1:11" x14ac:dyDescent="0.3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13</v>
      </c>
      <c r="K452">
        <v>2</v>
      </c>
    </row>
    <row r="453" spans="1:11" x14ac:dyDescent="0.3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13</v>
      </c>
      <c r="K453">
        <v>5</v>
      </c>
    </row>
    <row r="454" spans="1:11" x14ac:dyDescent="0.3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13</v>
      </c>
      <c r="K454">
        <v>2</v>
      </c>
    </row>
    <row r="455" spans="1:11" x14ac:dyDescent="0.3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13</v>
      </c>
      <c r="K455">
        <v>1</v>
      </c>
    </row>
    <row r="456" spans="1:11" x14ac:dyDescent="0.3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13</v>
      </c>
      <c r="K456">
        <v>2</v>
      </c>
    </row>
    <row r="457" spans="1:11" x14ac:dyDescent="0.3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15</v>
      </c>
      <c r="K457">
        <v>1</v>
      </c>
    </row>
    <row r="458" spans="1:11" x14ac:dyDescent="0.3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15</v>
      </c>
      <c r="K458">
        <v>1</v>
      </c>
    </row>
    <row r="459" spans="1:11" x14ac:dyDescent="0.3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13</v>
      </c>
      <c r="K459">
        <v>3</v>
      </c>
    </row>
    <row r="460" spans="1:11" x14ac:dyDescent="0.3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15</v>
      </c>
      <c r="K460">
        <v>1</v>
      </c>
    </row>
    <row r="461" spans="1:11" x14ac:dyDescent="0.3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13</v>
      </c>
      <c r="K461">
        <v>2</v>
      </c>
    </row>
    <row r="462" spans="1:11" x14ac:dyDescent="0.3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15</v>
      </c>
      <c r="K462">
        <v>5</v>
      </c>
    </row>
    <row r="463" spans="1:11" x14ac:dyDescent="0.3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13</v>
      </c>
      <c r="K463">
        <v>2</v>
      </c>
    </row>
    <row r="464" spans="1:11" x14ac:dyDescent="0.3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13</v>
      </c>
      <c r="K464">
        <v>3</v>
      </c>
    </row>
    <row r="465" spans="1:11" x14ac:dyDescent="0.3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13</v>
      </c>
      <c r="K465">
        <v>3</v>
      </c>
    </row>
    <row r="466" spans="1:11" x14ac:dyDescent="0.3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15</v>
      </c>
      <c r="K466">
        <v>1</v>
      </c>
    </row>
    <row r="467" spans="1:11" x14ac:dyDescent="0.3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15</v>
      </c>
      <c r="K467">
        <v>3</v>
      </c>
    </row>
    <row r="468" spans="1:11" x14ac:dyDescent="0.3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13</v>
      </c>
      <c r="K468">
        <v>4</v>
      </c>
    </row>
    <row r="469" spans="1:11" x14ac:dyDescent="0.3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15</v>
      </c>
      <c r="K469">
        <v>3</v>
      </c>
    </row>
    <row r="470" spans="1:11" x14ac:dyDescent="0.3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13</v>
      </c>
      <c r="K470">
        <v>4</v>
      </c>
    </row>
    <row r="471" spans="1:11" x14ac:dyDescent="0.3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13</v>
      </c>
      <c r="K471">
        <v>1</v>
      </c>
    </row>
    <row r="472" spans="1:11" x14ac:dyDescent="0.3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13</v>
      </c>
      <c r="K472">
        <v>3</v>
      </c>
    </row>
    <row r="473" spans="1:11" x14ac:dyDescent="0.3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15</v>
      </c>
      <c r="K473">
        <v>5</v>
      </c>
    </row>
    <row r="474" spans="1:11" x14ac:dyDescent="0.3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15</v>
      </c>
      <c r="K474">
        <v>2</v>
      </c>
    </row>
    <row r="475" spans="1:11" x14ac:dyDescent="0.3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13</v>
      </c>
      <c r="K475">
        <v>3</v>
      </c>
    </row>
    <row r="476" spans="1:11" x14ac:dyDescent="0.3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15</v>
      </c>
      <c r="K476">
        <v>3</v>
      </c>
    </row>
    <row r="477" spans="1:11" x14ac:dyDescent="0.3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15</v>
      </c>
      <c r="K477">
        <v>4</v>
      </c>
    </row>
    <row r="478" spans="1:11" x14ac:dyDescent="0.3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15</v>
      </c>
      <c r="K478">
        <v>4</v>
      </c>
    </row>
    <row r="479" spans="1:11" x14ac:dyDescent="0.3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15</v>
      </c>
      <c r="K479">
        <v>3</v>
      </c>
    </row>
    <row r="480" spans="1:11" x14ac:dyDescent="0.3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15</v>
      </c>
      <c r="K480">
        <v>3</v>
      </c>
    </row>
    <row r="481" spans="1:11" x14ac:dyDescent="0.3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13</v>
      </c>
      <c r="K481">
        <v>3</v>
      </c>
    </row>
    <row r="482" spans="1:11" x14ac:dyDescent="0.3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13</v>
      </c>
      <c r="K482">
        <v>2</v>
      </c>
    </row>
    <row r="483" spans="1:11" x14ac:dyDescent="0.3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13</v>
      </c>
      <c r="K483">
        <v>5</v>
      </c>
    </row>
    <row r="484" spans="1:11" x14ac:dyDescent="0.3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13</v>
      </c>
      <c r="K484">
        <v>5</v>
      </c>
    </row>
    <row r="485" spans="1:11" x14ac:dyDescent="0.3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15</v>
      </c>
      <c r="K485">
        <v>1</v>
      </c>
    </row>
    <row r="486" spans="1:11" x14ac:dyDescent="0.3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15</v>
      </c>
      <c r="K486">
        <v>4</v>
      </c>
    </row>
    <row r="487" spans="1:11" x14ac:dyDescent="0.3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13</v>
      </c>
      <c r="K487">
        <v>1</v>
      </c>
    </row>
    <row r="488" spans="1:11" x14ac:dyDescent="0.3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15</v>
      </c>
      <c r="K488">
        <v>2</v>
      </c>
    </row>
    <row r="489" spans="1:11" x14ac:dyDescent="0.3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15</v>
      </c>
      <c r="K489">
        <v>3</v>
      </c>
    </row>
    <row r="490" spans="1:11" x14ac:dyDescent="0.3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15</v>
      </c>
      <c r="K490">
        <v>4</v>
      </c>
    </row>
    <row r="491" spans="1:11" x14ac:dyDescent="0.3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13</v>
      </c>
      <c r="K491">
        <v>5</v>
      </c>
    </row>
    <row r="492" spans="1:11" x14ac:dyDescent="0.3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13</v>
      </c>
      <c r="K492">
        <v>4</v>
      </c>
    </row>
    <row r="493" spans="1:11" x14ac:dyDescent="0.3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15</v>
      </c>
      <c r="K493">
        <v>2</v>
      </c>
    </row>
    <row r="494" spans="1:11" x14ac:dyDescent="0.3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15</v>
      </c>
      <c r="K494">
        <v>1</v>
      </c>
    </row>
    <row r="495" spans="1:11" x14ac:dyDescent="0.3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13</v>
      </c>
      <c r="K495">
        <v>4</v>
      </c>
    </row>
    <row r="496" spans="1:11" x14ac:dyDescent="0.3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15</v>
      </c>
      <c r="K496">
        <v>2</v>
      </c>
    </row>
    <row r="497" spans="1:11" x14ac:dyDescent="0.3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13</v>
      </c>
      <c r="K497">
        <v>5</v>
      </c>
    </row>
    <row r="498" spans="1:11" x14ac:dyDescent="0.3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15</v>
      </c>
      <c r="K498">
        <v>3</v>
      </c>
    </row>
    <row r="499" spans="1:11" x14ac:dyDescent="0.3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15</v>
      </c>
      <c r="K499">
        <v>2</v>
      </c>
    </row>
    <row r="500" spans="1:11" x14ac:dyDescent="0.3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13</v>
      </c>
      <c r="K500">
        <v>3</v>
      </c>
    </row>
    <row r="501" spans="1:11" x14ac:dyDescent="0.3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15</v>
      </c>
      <c r="K501">
        <v>2</v>
      </c>
    </row>
    <row r="502" spans="1:11" x14ac:dyDescent="0.3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13</v>
      </c>
      <c r="K502">
        <v>1</v>
      </c>
    </row>
    <row r="503" spans="1:11" x14ac:dyDescent="0.3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15</v>
      </c>
      <c r="K503">
        <v>4</v>
      </c>
    </row>
    <row r="504" spans="1:11" x14ac:dyDescent="0.3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15</v>
      </c>
      <c r="K504">
        <v>5</v>
      </c>
    </row>
    <row r="505" spans="1:11" x14ac:dyDescent="0.3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13</v>
      </c>
      <c r="K505">
        <v>3</v>
      </c>
    </row>
    <row r="506" spans="1:11" x14ac:dyDescent="0.3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13</v>
      </c>
      <c r="K506">
        <v>5</v>
      </c>
    </row>
    <row r="507" spans="1:11" x14ac:dyDescent="0.3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15</v>
      </c>
      <c r="K507">
        <v>4</v>
      </c>
    </row>
    <row r="508" spans="1:11" x14ac:dyDescent="0.3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13</v>
      </c>
      <c r="K508">
        <v>3</v>
      </c>
    </row>
    <row r="509" spans="1:11" x14ac:dyDescent="0.3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15</v>
      </c>
      <c r="K509">
        <v>1</v>
      </c>
    </row>
    <row r="510" spans="1:11" x14ac:dyDescent="0.3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13</v>
      </c>
      <c r="K510">
        <v>3</v>
      </c>
    </row>
    <row r="511" spans="1:11" x14ac:dyDescent="0.3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13</v>
      </c>
      <c r="K511">
        <v>5</v>
      </c>
    </row>
    <row r="512" spans="1:11" x14ac:dyDescent="0.3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15</v>
      </c>
      <c r="K512">
        <v>3</v>
      </c>
    </row>
    <row r="513" spans="1:11" x14ac:dyDescent="0.3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13</v>
      </c>
      <c r="K513">
        <v>5</v>
      </c>
    </row>
    <row r="514" spans="1:11" x14ac:dyDescent="0.3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13</v>
      </c>
      <c r="K514">
        <v>1</v>
      </c>
    </row>
    <row r="515" spans="1:11" x14ac:dyDescent="0.3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15</v>
      </c>
      <c r="K515">
        <v>2</v>
      </c>
    </row>
    <row r="516" spans="1:11" x14ac:dyDescent="0.3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13</v>
      </c>
      <c r="K516">
        <v>4</v>
      </c>
    </row>
    <row r="517" spans="1:11" x14ac:dyDescent="0.3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13</v>
      </c>
      <c r="K517">
        <v>2</v>
      </c>
    </row>
    <row r="518" spans="1:11" x14ac:dyDescent="0.3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13</v>
      </c>
      <c r="K518">
        <v>2</v>
      </c>
    </row>
    <row r="519" spans="1:11" x14ac:dyDescent="0.3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13</v>
      </c>
      <c r="K519">
        <v>1</v>
      </c>
    </row>
    <row r="520" spans="1:11" x14ac:dyDescent="0.3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15</v>
      </c>
      <c r="K520">
        <v>5</v>
      </c>
    </row>
    <row r="521" spans="1:11" x14ac:dyDescent="0.3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13</v>
      </c>
      <c r="K521">
        <v>2</v>
      </c>
    </row>
    <row r="522" spans="1:11" x14ac:dyDescent="0.3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13</v>
      </c>
      <c r="K522">
        <v>4</v>
      </c>
    </row>
    <row r="523" spans="1:11" x14ac:dyDescent="0.3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13</v>
      </c>
      <c r="K523">
        <v>1</v>
      </c>
    </row>
    <row r="524" spans="1:11" x14ac:dyDescent="0.3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15</v>
      </c>
      <c r="K524">
        <v>4</v>
      </c>
    </row>
    <row r="525" spans="1:11" x14ac:dyDescent="0.3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13</v>
      </c>
      <c r="K525">
        <v>5</v>
      </c>
    </row>
    <row r="526" spans="1:11" x14ac:dyDescent="0.3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15</v>
      </c>
      <c r="K526">
        <v>3</v>
      </c>
    </row>
    <row r="527" spans="1:11" x14ac:dyDescent="0.3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13</v>
      </c>
      <c r="K527">
        <v>3</v>
      </c>
    </row>
    <row r="528" spans="1:11" x14ac:dyDescent="0.3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15</v>
      </c>
      <c r="K528">
        <v>2</v>
      </c>
    </row>
    <row r="529" spans="1:11" x14ac:dyDescent="0.3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15</v>
      </c>
      <c r="K529">
        <v>1</v>
      </c>
    </row>
    <row r="530" spans="1:11" x14ac:dyDescent="0.3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13</v>
      </c>
      <c r="K530">
        <v>2</v>
      </c>
    </row>
    <row r="531" spans="1:11" x14ac:dyDescent="0.3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15</v>
      </c>
      <c r="K531">
        <v>3</v>
      </c>
    </row>
    <row r="532" spans="1:11" x14ac:dyDescent="0.3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15</v>
      </c>
      <c r="K532">
        <v>5</v>
      </c>
    </row>
    <row r="533" spans="1:11" x14ac:dyDescent="0.3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13</v>
      </c>
      <c r="K533">
        <v>4</v>
      </c>
    </row>
    <row r="534" spans="1:11" x14ac:dyDescent="0.3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15</v>
      </c>
      <c r="K534">
        <v>4</v>
      </c>
    </row>
    <row r="535" spans="1:11" x14ac:dyDescent="0.3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15</v>
      </c>
      <c r="K535">
        <v>3</v>
      </c>
    </row>
    <row r="536" spans="1:11" x14ac:dyDescent="0.3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13</v>
      </c>
      <c r="K536">
        <v>4</v>
      </c>
    </row>
    <row r="537" spans="1:11" x14ac:dyDescent="0.3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15</v>
      </c>
      <c r="K537">
        <v>2</v>
      </c>
    </row>
    <row r="538" spans="1:11" x14ac:dyDescent="0.3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13</v>
      </c>
      <c r="K538">
        <v>3</v>
      </c>
    </row>
    <row r="539" spans="1:11" x14ac:dyDescent="0.3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15</v>
      </c>
      <c r="K539">
        <v>5</v>
      </c>
    </row>
    <row r="540" spans="1:11" x14ac:dyDescent="0.3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15</v>
      </c>
      <c r="K540">
        <v>5</v>
      </c>
    </row>
    <row r="541" spans="1:11" x14ac:dyDescent="0.3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15</v>
      </c>
      <c r="K541">
        <v>5</v>
      </c>
    </row>
    <row r="542" spans="1:11" x14ac:dyDescent="0.3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13</v>
      </c>
      <c r="K542">
        <v>5</v>
      </c>
    </row>
    <row r="543" spans="1:11" x14ac:dyDescent="0.3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15</v>
      </c>
      <c r="K543">
        <v>2</v>
      </c>
    </row>
    <row r="544" spans="1:11" x14ac:dyDescent="0.3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13</v>
      </c>
      <c r="K544">
        <v>3</v>
      </c>
    </row>
    <row r="545" spans="1:11" x14ac:dyDescent="0.3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13</v>
      </c>
      <c r="K545">
        <v>3</v>
      </c>
    </row>
    <row r="546" spans="1:11" x14ac:dyDescent="0.3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15</v>
      </c>
      <c r="K546">
        <v>5</v>
      </c>
    </row>
    <row r="547" spans="1:11" x14ac:dyDescent="0.3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15</v>
      </c>
      <c r="K547">
        <v>1</v>
      </c>
    </row>
    <row r="548" spans="1:11" x14ac:dyDescent="0.3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15</v>
      </c>
      <c r="K548">
        <v>3</v>
      </c>
    </row>
    <row r="549" spans="1:11" x14ac:dyDescent="0.3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15</v>
      </c>
      <c r="K549">
        <v>2</v>
      </c>
    </row>
    <row r="550" spans="1:11" x14ac:dyDescent="0.3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13</v>
      </c>
      <c r="K550">
        <v>4</v>
      </c>
    </row>
    <row r="551" spans="1:11" x14ac:dyDescent="0.3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15</v>
      </c>
      <c r="K551">
        <v>2</v>
      </c>
    </row>
    <row r="552" spans="1:11" x14ac:dyDescent="0.3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13</v>
      </c>
      <c r="K552">
        <v>4</v>
      </c>
    </row>
    <row r="553" spans="1:11" x14ac:dyDescent="0.3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15</v>
      </c>
      <c r="K553">
        <v>2</v>
      </c>
    </row>
    <row r="554" spans="1:11" x14ac:dyDescent="0.3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13</v>
      </c>
      <c r="K554">
        <v>2</v>
      </c>
    </row>
    <row r="555" spans="1:11" x14ac:dyDescent="0.3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15</v>
      </c>
      <c r="K555">
        <v>4</v>
      </c>
    </row>
    <row r="556" spans="1:11" x14ac:dyDescent="0.3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15</v>
      </c>
      <c r="K556">
        <v>4</v>
      </c>
    </row>
    <row r="557" spans="1:11" x14ac:dyDescent="0.3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15</v>
      </c>
      <c r="K557">
        <v>3</v>
      </c>
    </row>
    <row r="558" spans="1:11" x14ac:dyDescent="0.3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15</v>
      </c>
      <c r="K558">
        <v>2</v>
      </c>
    </row>
    <row r="559" spans="1:11" x14ac:dyDescent="0.3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13</v>
      </c>
      <c r="K559">
        <v>3</v>
      </c>
    </row>
    <row r="560" spans="1:11" x14ac:dyDescent="0.3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13</v>
      </c>
      <c r="K560">
        <v>4</v>
      </c>
    </row>
    <row r="561" spans="1:11" x14ac:dyDescent="0.3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13</v>
      </c>
      <c r="K561">
        <v>5</v>
      </c>
    </row>
    <row r="562" spans="1:11" x14ac:dyDescent="0.3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15</v>
      </c>
      <c r="K562">
        <v>4</v>
      </c>
    </row>
    <row r="563" spans="1:11" x14ac:dyDescent="0.3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13</v>
      </c>
      <c r="K563">
        <v>2</v>
      </c>
    </row>
    <row r="564" spans="1:11" x14ac:dyDescent="0.3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15</v>
      </c>
      <c r="K564">
        <v>1</v>
      </c>
    </row>
    <row r="565" spans="1:11" x14ac:dyDescent="0.3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13</v>
      </c>
      <c r="K565">
        <v>1</v>
      </c>
    </row>
    <row r="566" spans="1:11" x14ac:dyDescent="0.3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13</v>
      </c>
      <c r="K566">
        <v>3</v>
      </c>
    </row>
    <row r="567" spans="1:11" x14ac:dyDescent="0.3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13</v>
      </c>
      <c r="K567">
        <v>1</v>
      </c>
    </row>
    <row r="568" spans="1:11" x14ac:dyDescent="0.3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15</v>
      </c>
      <c r="K568">
        <v>2</v>
      </c>
    </row>
    <row r="569" spans="1:11" x14ac:dyDescent="0.3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13</v>
      </c>
      <c r="K569">
        <v>1</v>
      </c>
    </row>
    <row r="570" spans="1:11" x14ac:dyDescent="0.3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15</v>
      </c>
      <c r="K570">
        <v>3</v>
      </c>
    </row>
    <row r="571" spans="1:11" x14ac:dyDescent="0.3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13</v>
      </c>
      <c r="K571">
        <v>4</v>
      </c>
    </row>
    <row r="572" spans="1:11" x14ac:dyDescent="0.3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13</v>
      </c>
      <c r="K572">
        <v>4</v>
      </c>
    </row>
    <row r="573" spans="1:11" x14ac:dyDescent="0.3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15</v>
      </c>
      <c r="K573">
        <v>4</v>
      </c>
    </row>
    <row r="574" spans="1:11" x14ac:dyDescent="0.3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15</v>
      </c>
      <c r="K574">
        <v>3</v>
      </c>
    </row>
    <row r="575" spans="1:11" x14ac:dyDescent="0.3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13</v>
      </c>
      <c r="K575">
        <v>5</v>
      </c>
    </row>
    <row r="576" spans="1:11" x14ac:dyDescent="0.3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15</v>
      </c>
      <c r="K576">
        <v>5</v>
      </c>
    </row>
    <row r="577" spans="1:11" x14ac:dyDescent="0.3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13</v>
      </c>
      <c r="K577">
        <v>2</v>
      </c>
    </row>
    <row r="578" spans="1:11" x14ac:dyDescent="0.3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15</v>
      </c>
      <c r="K578">
        <v>5</v>
      </c>
    </row>
    <row r="579" spans="1:11" x14ac:dyDescent="0.3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15</v>
      </c>
      <c r="K579">
        <v>4</v>
      </c>
    </row>
    <row r="580" spans="1:11" x14ac:dyDescent="0.3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15</v>
      </c>
      <c r="K580">
        <v>3</v>
      </c>
    </row>
    <row r="581" spans="1:11" x14ac:dyDescent="0.3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13</v>
      </c>
      <c r="K581">
        <v>1</v>
      </c>
    </row>
    <row r="582" spans="1:11" x14ac:dyDescent="0.3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15</v>
      </c>
      <c r="K582">
        <v>5</v>
      </c>
    </row>
    <row r="583" spans="1:11" x14ac:dyDescent="0.3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13</v>
      </c>
      <c r="K583">
        <v>2</v>
      </c>
    </row>
    <row r="584" spans="1:11" x14ac:dyDescent="0.3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15</v>
      </c>
      <c r="K584">
        <v>3</v>
      </c>
    </row>
    <row r="585" spans="1:11" x14ac:dyDescent="0.3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15</v>
      </c>
      <c r="K585">
        <v>1</v>
      </c>
    </row>
    <row r="586" spans="1:11" x14ac:dyDescent="0.3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15</v>
      </c>
      <c r="K586">
        <v>1</v>
      </c>
    </row>
    <row r="587" spans="1:11" x14ac:dyDescent="0.3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13</v>
      </c>
      <c r="K587">
        <v>2</v>
      </c>
    </row>
    <row r="588" spans="1:11" x14ac:dyDescent="0.3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15</v>
      </c>
      <c r="K588">
        <v>3</v>
      </c>
    </row>
    <row r="589" spans="1:11" x14ac:dyDescent="0.3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13</v>
      </c>
      <c r="K589">
        <v>4</v>
      </c>
    </row>
    <row r="590" spans="1:11" x14ac:dyDescent="0.3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13</v>
      </c>
      <c r="K590">
        <v>4</v>
      </c>
    </row>
    <row r="591" spans="1:11" x14ac:dyDescent="0.3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15</v>
      </c>
      <c r="K591">
        <v>2</v>
      </c>
    </row>
    <row r="592" spans="1:11" x14ac:dyDescent="0.3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13</v>
      </c>
      <c r="K592">
        <v>2</v>
      </c>
    </row>
    <row r="593" spans="1:11" x14ac:dyDescent="0.3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15</v>
      </c>
      <c r="K593">
        <v>5</v>
      </c>
    </row>
    <row r="594" spans="1:11" x14ac:dyDescent="0.3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15</v>
      </c>
      <c r="K594">
        <v>4</v>
      </c>
    </row>
    <row r="595" spans="1:11" x14ac:dyDescent="0.3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15</v>
      </c>
      <c r="K595">
        <v>3</v>
      </c>
    </row>
    <row r="596" spans="1:11" x14ac:dyDescent="0.3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13</v>
      </c>
      <c r="K596">
        <v>4</v>
      </c>
    </row>
    <row r="597" spans="1:11" x14ac:dyDescent="0.3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13</v>
      </c>
      <c r="K597">
        <v>5</v>
      </c>
    </row>
    <row r="598" spans="1:11" x14ac:dyDescent="0.3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13</v>
      </c>
      <c r="K598">
        <v>5</v>
      </c>
    </row>
    <row r="599" spans="1:11" x14ac:dyDescent="0.3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13</v>
      </c>
      <c r="K599">
        <v>2</v>
      </c>
    </row>
    <row r="600" spans="1:11" x14ac:dyDescent="0.3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13</v>
      </c>
      <c r="K600">
        <v>2</v>
      </c>
    </row>
    <row r="601" spans="1:11" x14ac:dyDescent="0.3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15</v>
      </c>
      <c r="K601">
        <v>3</v>
      </c>
    </row>
    <row r="602" spans="1:11" x14ac:dyDescent="0.3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15</v>
      </c>
      <c r="K602">
        <v>4</v>
      </c>
    </row>
    <row r="603" spans="1:11" x14ac:dyDescent="0.3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13</v>
      </c>
      <c r="K603">
        <v>1</v>
      </c>
    </row>
    <row r="604" spans="1:11" x14ac:dyDescent="0.3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13</v>
      </c>
      <c r="K604">
        <v>2</v>
      </c>
    </row>
    <row r="605" spans="1:11" x14ac:dyDescent="0.3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15</v>
      </c>
      <c r="K605">
        <v>2</v>
      </c>
    </row>
    <row r="606" spans="1:11" x14ac:dyDescent="0.3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15</v>
      </c>
      <c r="K606">
        <v>3</v>
      </c>
    </row>
    <row r="607" spans="1:11" x14ac:dyDescent="0.3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15</v>
      </c>
      <c r="K607">
        <v>4</v>
      </c>
    </row>
    <row r="608" spans="1:11" x14ac:dyDescent="0.3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15</v>
      </c>
      <c r="K608">
        <v>5</v>
      </c>
    </row>
    <row r="609" spans="1:11" x14ac:dyDescent="0.3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13</v>
      </c>
      <c r="K609">
        <v>3</v>
      </c>
    </row>
    <row r="610" spans="1:11" x14ac:dyDescent="0.3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15</v>
      </c>
      <c r="K610">
        <v>3</v>
      </c>
    </row>
    <row r="611" spans="1:11" x14ac:dyDescent="0.3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13</v>
      </c>
      <c r="K611">
        <v>5</v>
      </c>
    </row>
    <row r="612" spans="1:11" x14ac:dyDescent="0.3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13</v>
      </c>
      <c r="K612">
        <v>5</v>
      </c>
    </row>
    <row r="613" spans="1:11" x14ac:dyDescent="0.3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13</v>
      </c>
      <c r="K613">
        <v>1</v>
      </c>
    </row>
    <row r="614" spans="1:11" x14ac:dyDescent="0.3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13</v>
      </c>
      <c r="K614">
        <v>5</v>
      </c>
    </row>
    <row r="615" spans="1:11" x14ac:dyDescent="0.3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15</v>
      </c>
      <c r="K615">
        <v>1</v>
      </c>
    </row>
    <row r="616" spans="1:11" x14ac:dyDescent="0.3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13</v>
      </c>
      <c r="K616">
        <v>2</v>
      </c>
    </row>
    <row r="617" spans="1:11" x14ac:dyDescent="0.3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13</v>
      </c>
      <c r="K617">
        <v>2</v>
      </c>
    </row>
    <row r="618" spans="1:11" x14ac:dyDescent="0.3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15</v>
      </c>
      <c r="K618">
        <v>3</v>
      </c>
    </row>
    <row r="619" spans="1:11" x14ac:dyDescent="0.3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15</v>
      </c>
      <c r="K619">
        <v>3</v>
      </c>
    </row>
    <row r="620" spans="1:11" x14ac:dyDescent="0.3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15</v>
      </c>
      <c r="K620">
        <v>4</v>
      </c>
    </row>
    <row r="621" spans="1:11" x14ac:dyDescent="0.3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13</v>
      </c>
      <c r="K621">
        <v>3</v>
      </c>
    </row>
    <row r="622" spans="1:11" x14ac:dyDescent="0.3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15</v>
      </c>
      <c r="K622">
        <v>3</v>
      </c>
    </row>
    <row r="623" spans="1:11" x14ac:dyDescent="0.3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13</v>
      </c>
      <c r="K623">
        <v>1</v>
      </c>
    </row>
    <row r="624" spans="1:11" x14ac:dyDescent="0.3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15</v>
      </c>
      <c r="K624">
        <v>4</v>
      </c>
    </row>
    <row r="625" spans="1:11" x14ac:dyDescent="0.3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13</v>
      </c>
      <c r="K625">
        <v>1</v>
      </c>
    </row>
    <row r="626" spans="1:11" x14ac:dyDescent="0.3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13</v>
      </c>
      <c r="K626">
        <v>1</v>
      </c>
    </row>
    <row r="627" spans="1:11" x14ac:dyDescent="0.3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15</v>
      </c>
      <c r="K627">
        <v>1</v>
      </c>
    </row>
    <row r="628" spans="1:11" x14ac:dyDescent="0.3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15</v>
      </c>
      <c r="K628">
        <v>3</v>
      </c>
    </row>
    <row r="629" spans="1:11" x14ac:dyDescent="0.3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13</v>
      </c>
      <c r="K629">
        <v>3</v>
      </c>
    </row>
    <row r="630" spans="1:11" x14ac:dyDescent="0.3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13</v>
      </c>
      <c r="K630">
        <v>1</v>
      </c>
    </row>
    <row r="631" spans="1:11" x14ac:dyDescent="0.3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13</v>
      </c>
      <c r="K631">
        <v>4</v>
      </c>
    </row>
    <row r="632" spans="1:11" x14ac:dyDescent="0.3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13</v>
      </c>
      <c r="K632">
        <v>2</v>
      </c>
    </row>
    <row r="633" spans="1:11" x14ac:dyDescent="0.3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15</v>
      </c>
      <c r="K633">
        <v>3</v>
      </c>
    </row>
    <row r="634" spans="1:11" x14ac:dyDescent="0.3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15</v>
      </c>
      <c r="K634">
        <v>5</v>
      </c>
    </row>
    <row r="635" spans="1:11" x14ac:dyDescent="0.3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15</v>
      </c>
      <c r="K635">
        <v>2</v>
      </c>
    </row>
    <row r="636" spans="1:11" x14ac:dyDescent="0.3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13</v>
      </c>
      <c r="K636">
        <v>4</v>
      </c>
    </row>
    <row r="637" spans="1:11" x14ac:dyDescent="0.3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15</v>
      </c>
      <c r="K637">
        <v>2</v>
      </c>
    </row>
    <row r="638" spans="1:11" x14ac:dyDescent="0.3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13</v>
      </c>
      <c r="K638">
        <v>5</v>
      </c>
    </row>
    <row r="639" spans="1:11" x14ac:dyDescent="0.3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15</v>
      </c>
      <c r="K639">
        <v>1</v>
      </c>
    </row>
    <row r="640" spans="1:11" x14ac:dyDescent="0.3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15</v>
      </c>
      <c r="K640">
        <v>4</v>
      </c>
    </row>
    <row r="641" spans="1:11" x14ac:dyDescent="0.3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15</v>
      </c>
      <c r="K641">
        <v>5</v>
      </c>
    </row>
    <row r="642" spans="1:11" x14ac:dyDescent="0.3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13</v>
      </c>
      <c r="K642">
        <v>1</v>
      </c>
    </row>
    <row r="643" spans="1:11" x14ac:dyDescent="0.3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15</v>
      </c>
      <c r="K643">
        <v>1</v>
      </c>
    </row>
    <row r="644" spans="1:11" x14ac:dyDescent="0.3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13</v>
      </c>
      <c r="K644">
        <v>5</v>
      </c>
    </row>
    <row r="645" spans="1:11" x14ac:dyDescent="0.3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13</v>
      </c>
      <c r="K645">
        <v>2</v>
      </c>
    </row>
    <row r="646" spans="1:11" x14ac:dyDescent="0.3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15</v>
      </c>
      <c r="K646">
        <v>3</v>
      </c>
    </row>
    <row r="647" spans="1:11" x14ac:dyDescent="0.3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15</v>
      </c>
      <c r="K647">
        <v>2</v>
      </c>
    </row>
    <row r="648" spans="1:11" x14ac:dyDescent="0.3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15</v>
      </c>
      <c r="K648">
        <v>1</v>
      </c>
    </row>
    <row r="649" spans="1:11" x14ac:dyDescent="0.3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15</v>
      </c>
      <c r="K649">
        <v>1</v>
      </c>
    </row>
    <row r="650" spans="1:11" x14ac:dyDescent="0.3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13</v>
      </c>
      <c r="K650">
        <v>4</v>
      </c>
    </row>
    <row r="651" spans="1:11" x14ac:dyDescent="0.3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15</v>
      </c>
      <c r="K651">
        <v>3</v>
      </c>
    </row>
    <row r="652" spans="1:11" x14ac:dyDescent="0.3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13</v>
      </c>
      <c r="K652">
        <v>2</v>
      </c>
    </row>
    <row r="653" spans="1:11" x14ac:dyDescent="0.3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15</v>
      </c>
      <c r="K653">
        <v>1</v>
      </c>
    </row>
    <row r="654" spans="1:11" x14ac:dyDescent="0.3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13</v>
      </c>
      <c r="K654">
        <v>3</v>
      </c>
    </row>
    <row r="655" spans="1:11" x14ac:dyDescent="0.3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13</v>
      </c>
      <c r="K655">
        <v>1</v>
      </c>
    </row>
    <row r="656" spans="1:11" x14ac:dyDescent="0.3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13</v>
      </c>
      <c r="K656">
        <v>5</v>
      </c>
    </row>
    <row r="657" spans="1:11" x14ac:dyDescent="0.3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13</v>
      </c>
      <c r="K657">
        <v>2</v>
      </c>
    </row>
    <row r="658" spans="1:11" x14ac:dyDescent="0.3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15</v>
      </c>
      <c r="K658">
        <v>3</v>
      </c>
    </row>
    <row r="659" spans="1:11" x14ac:dyDescent="0.3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15</v>
      </c>
      <c r="K659">
        <v>3</v>
      </c>
    </row>
    <row r="660" spans="1:11" x14ac:dyDescent="0.3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15</v>
      </c>
      <c r="K660">
        <v>4</v>
      </c>
    </row>
    <row r="661" spans="1:11" x14ac:dyDescent="0.3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13</v>
      </c>
      <c r="K661">
        <v>5</v>
      </c>
    </row>
    <row r="662" spans="1:11" x14ac:dyDescent="0.3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13</v>
      </c>
      <c r="K662">
        <v>1</v>
      </c>
    </row>
    <row r="663" spans="1:11" x14ac:dyDescent="0.3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13</v>
      </c>
      <c r="K663">
        <v>2</v>
      </c>
    </row>
    <row r="664" spans="1:11" x14ac:dyDescent="0.3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13</v>
      </c>
      <c r="K664">
        <v>2</v>
      </c>
    </row>
    <row r="665" spans="1:11" x14ac:dyDescent="0.3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15</v>
      </c>
      <c r="K665">
        <v>4</v>
      </c>
    </row>
    <row r="666" spans="1:11" x14ac:dyDescent="0.3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13</v>
      </c>
      <c r="K666">
        <v>5</v>
      </c>
    </row>
    <row r="667" spans="1:11" x14ac:dyDescent="0.3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13</v>
      </c>
      <c r="K667">
        <v>3</v>
      </c>
    </row>
    <row r="668" spans="1:11" x14ac:dyDescent="0.3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13</v>
      </c>
      <c r="K668">
        <v>5</v>
      </c>
    </row>
    <row r="669" spans="1:11" x14ac:dyDescent="0.3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13</v>
      </c>
      <c r="K669">
        <v>3</v>
      </c>
    </row>
    <row r="670" spans="1:11" x14ac:dyDescent="0.3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13</v>
      </c>
      <c r="K670">
        <v>2</v>
      </c>
    </row>
    <row r="671" spans="1:11" x14ac:dyDescent="0.3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15</v>
      </c>
      <c r="K671">
        <v>2</v>
      </c>
    </row>
    <row r="672" spans="1:11" x14ac:dyDescent="0.3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13</v>
      </c>
      <c r="K672">
        <v>1</v>
      </c>
    </row>
    <row r="673" spans="1:11" x14ac:dyDescent="0.3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13</v>
      </c>
      <c r="K673">
        <v>4</v>
      </c>
    </row>
    <row r="674" spans="1:11" x14ac:dyDescent="0.3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13</v>
      </c>
      <c r="K674">
        <v>5</v>
      </c>
    </row>
    <row r="675" spans="1:11" x14ac:dyDescent="0.3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13</v>
      </c>
      <c r="K675">
        <v>1</v>
      </c>
    </row>
    <row r="676" spans="1:11" x14ac:dyDescent="0.3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15</v>
      </c>
      <c r="K676">
        <v>5</v>
      </c>
    </row>
    <row r="677" spans="1:11" x14ac:dyDescent="0.3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13</v>
      </c>
      <c r="K677">
        <v>1</v>
      </c>
    </row>
    <row r="678" spans="1:11" x14ac:dyDescent="0.3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13</v>
      </c>
      <c r="K678">
        <v>2</v>
      </c>
    </row>
    <row r="679" spans="1:11" x14ac:dyDescent="0.3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15</v>
      </c>
      <c r="K679">
        <v>2</v>
      </c>
    </row>
    <row r="680" spans="1:11" x14ac:dyDescent="0.3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15</v>
      </c>
      <c r="K680">
        <v>3</v>
      </c>
    </row>
    <row r="681" spans="1:11" x14ac:dyDescent="0.3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15</v>
      </c>
      <c r="K681">
        <v>1</v>
      </c>
    </row>
    <row r="682" spans="1:11" x14ac:dyDescent="0.3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15</v>
      </c>
      <c r="K682">
        <v>4</v>
      </c>
    </row>
    <row r="683" spans="1:11" x14ac:dyDescent="0.3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13</v>
      </c>
      <c r="K683">
        <v>4</v>
      </c>
    </row>
    <row r="684" spans="1:11" x14ac:dyDescent="0.3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13</v>
      </c>
      <c r="K684">
        <v>3</v>
      </c>
    </row>
    <row r="685" spans="1:11" x14ac:dyDescent="0.3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13</v>
      </c>
      <c r="K685">
        <v>1</v>
      </c>
    </row>
    <row r="686" spans="1:11" x14ac:dyDescent="0.3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13</v>
      </c>
      <c r="K686">
        <v>3</v>
      </c>
    </row>
    <row r="687" spans="1:11" x14ac:dyDescent="0.3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13</v>
      </c>
      <c r="K687">
        <v>4</v>
      </c>
    </row>
    <row r="688" spans="1:11" x14ac:dyDescent="0.3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13</v>
      </c>
      <c r="K688">
        <v>4</v>
      </c>
    </row>
    <row r="689" spans="1:11" x14ac:dyDescent="0.3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13</v>
      </c>
      <c r="K689">
        <v>4</v>
      </c>
    </row>
    <row r="690" spans="1:11" x14ac:dyDescent="0.3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15</v>
      </c>
      <c r="K690">
        <v>3</v>
      </c>
    </row>
    <row r="691" spans="1:11" x14ac:dyDescent="0.3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13</v>
      </c>
      <c r="K691">
        <v>5</v>
      </c>
    </row>
    <row r="692" spans="1:11" x14ac:dyDescent="0.3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13</v>
      </c>
      <c r="K692">
        <v>3</v>
      </c>
    </row>
    <row r="693" spans="1:11" x14ac:dyDescent="0.3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15</v>
      </c>
      <c r="K693">
        <v>2</v>
      </c>
    </row>
    <row r="694" spans="1:11" x14ac:dyDescent="0.3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15</v>
      </c>
      <c r="K694">
        <v>4</v>
      </c>
    </row>
    <row r="695" spans="1:11" x14ac:dyDescent="0.3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13</v>
      </c>
      <c r="K695">
        <v>5</v>
      </c>
    </row>
    <row r="696" spans="1:11" x14ac:dyDescent="0.3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15</v>
      </c>
      <c r="K696">
        <v>5</v>
      </c>
    </row>
    <row r="697" spans="1:11" x14ac:dyDescent="0.3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13</v>
      </c>
      <c r="K697">
        <v>2</v>
      </c>
    </row>
    <row r="698" spans="1:11" x14ac:dyDescent="0.3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13</v>
      </c>
      <c r="K698">
        <v>4</v>
      </c>
    </row>
    <row r="699" spans="1:11" x14ac:dyDescent="0.3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15</v>
      </c>
      <c r="K699">
        <v>2</v>
      </c>
    </row>
    <row r="700" spans="1:11" x14ac:dyDescent="0.3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13</v>
      </c>
      <c r="K700">
        <v>1</v>
      </c>
    </row>
    <row r="701" spans="1:11" x14ac:dyDescent="0.3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15</v>
      </c>
      <c r="K701">
        <v>3</v>
      </c>
    </row>
    <row r="703" spans="1:11" x14ac:dyDescent="0.3">
      <c r="I703">
        <f>MAX(I2:I701)</f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8756-A2DD-42B5-B149-2E74DEFB8836}">
  <dimension ref="A3:K7"/>
  <sheetViews>
    <sheetView tabSelected="1" workbookViewId="0">
      <selection activeCell="F4" sqref="F4:K7"/>
    </sheetView>
  </sheetViews>
  <sheetFormatPr defaultRowHeight="14.4" x14ac:dyDescent="0.3"/>
  <cols>
    <col min="1" max="1" width="31.6640625" bestFit="1" customWidth="1"/>
    <col min="2" max="2" width="15.5546875" bestFit="1" customWidth="1"/>
    <col min="3" max="3" width="7" bestFit="1" customWidth="1"/>
    <col min="4" max="4" width="10.77734375" bestFit="1" customWidth="1"/>
    <col min="5" max="5" width="4" bestFit="1" customWidth="1"/>
    <col min="6" max="6" width="10.77734375" bestFit="1" customWidth="1"/>
    <col min="7" max="8" width="7" bestFit="1" customWidth="1"/>
    <col min="9" max="9" width="10.77734375" bestFit="1" customWidth="1"/>
    <col min="10" max="10" width="4.44140625" bestFit="1" customWidth="1"/>
    <col min="11" max="11" width="8.44140625" bestFit="1" customWidth="1"/>
    <col min="12" max="12" width="2" bestFit="1" customWidth="1"/>
    <col min="13" max="21" width="4" bestFit="1" customWidth="1"/>
    <col min="22" max="22" width="2" bestFit="1" customWidth="1"/>
    <col min="23" max="31" width="4" bestFit="1" customWidth="1"/>
    <col min="32" max="32" width="2" bestFit="1" customWidth="1"/>
    <col min="33" max="41" width="4" bestFit="1" customWidth="1"/>
    <col min="42" max="42" width="2" bestFit="1" customWidth="1"/>
    <col min="43" max="51" width="4" bestFit="1" customWidth="1"/>
    <col min="52" max="52" width="2" bestFit="1" customWidth="1"/>
    <col min="53" max="61" width="4" bestFit="1" customWidth="1"/>
    <col min="62" max="62" width="2" bestFit="1" customWidth="1"/>
    <col min="63" max="80" width="4" bestFit="1" customWidth="1"/>
    <col min="81" max="81" width="2" bestFit="1" customWidth="1"/>
    <col min="82" max="89" width="4" bestFit="1" customWidth="1"/>
    <col min="90" max="90" width="3" bestFit="1" customWidth="1"/>
    <col min="91" max="108" width="5" bestFit="1" customWidth="1"/>
    <col min="109" max="109" width="3" bestFit="1" customWidth="1"/>
    <col min="110" max="110" width="10.77734375" bestFit="1" customWidth="1"/>
  </cols>
  <sheetData>
    <row r="3" spans="1:11" x14ac:dyDescent="0.3">
      <c r="A3" s="2" t="s">
        <v>24</v>
      </c>
      <c r="B3" s="2" t="s">
        <v>23</v>
      </c>
    </row>
    <row r="4" spans="1:11" x14ac:dyDescent="0.3">
      <c r="A4" s="2" t="s">
        <v>21</v>
      </c>
      <c r="B4" t="s">
        <v>15</v>
      </c>
      <c r="C4" t="s">
        <v>13</v>
      </c>
      <c r="D4" t="s">
        <v>22</v>
      </c>
      <c r="F4" s="4" t="s">
        <v>21</v>
      </c>
      <c r="G4" s="4" t="s">
        <v>15</v>
      </c>
      <c r="H4" s="4" t="s">
        <v>13</v>
      </c>
      <c r="I4" s="4" t="s">
        <v>22</v>
      </c>
    </row>
    <row r="5" spans="1:11" x14ac:dyDescent="0.3">
      <c r="A5" s="3">
        <v>1</v>
      </c>
      <c r="B5" s="5">
        <v>764.70000000000016</v>
      </c>
      <c r="C5" s="5">
        <v>708.30000000000041</v>
      </c>
      <c r="D5" s="5">
        <v>1473.0000000000005</v>
      </c>
      <c r="F5" s="3">
        <v>1</v>
      </c>
      <c r="G5" s="5">
        <v>764.70000000000016</v>
      </c>
      <c r="H5" s="5">
        <v>708.30000000000041</v>
      </c>
      <c r="I5" s="5">
        <v>1473.0000000000005</v>
      </c>
      <c r="J5" s="8">
        <f>G5/I5</f>
        <v>0.5191446028513238</v>
      </c>
      <c r="K5" s="8">
        <f>H5/I5</f>
        <v>0.48085539714867631</v>
      </c>
    </row>
    <row r="6" spans="1:11" x14ac:dyDescent="0.3">
      <c r="A6" s="3">
        <v>2</v>
      </c>
      <c r="B6" s="5">
        <v>1003.0999999999997</v>
      </c>
      <c r="C6" s="5">
        <v>1214.7999999999986</v>
      </c>
      <c r="D6" s="5">
        <v>2217.8999999999983</v>
      </c>
      <c r="F6" s="3">
        <v>2</v>
      </c>
      <c r="G6" s="5">
        <v>1003.0999999999997</v>
      </c>
      <c r="H6" s="5">
        <v>1214.7999999999986</v>
      </c>
      <c r="I6" s="5">
        <v>2217.8999999999983</v>
      </c>
      <c r="J6" s="8">
        <f>G6/I6</f>
        <v>0.45227467424139972</v>
      </c>
      <c r="K6" s="8">
        <f>H6/I6</f>
        <v>0.54772532575860022</v>
      </c>
    </row>
    <row r="7" spans="1:11" x14ac:dyDescent="0.3">
      <c r="A7" s="3" t="s">
        <v>22</v>
      </c>
      <c r="B7" s="5">
        <v>1767.7999999999997</v>
      </c>
      <c r="C7" s="5">
        <v>1923.099999999999</v>
      </c>
      <c r="D7" s="5">
        <v>3690.8999999999987</v>
      </c>
      <c r="F7" s="6" t="s">
        <v>22</v>
      </c>
      <c r="G7" s="7">
        <v>1767.7999999999997</v>
      </c>
      <c r="H7" s="7">
        <v>1923.099999999999</v>
      </c>
      <c r="I7" s="7">
        <v>3690.8999999999987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8648-37E3-48F2-9FF9-C5FE6A0AD3C8}">
  <dimension ref="A1:L701"/>
  <sheetViews>
    <sheetView workbookViewId="0">
      <selection sqref="A1:L701"/>
    </sheetView>
  </sheetViews>
  <sheetFormatPr defaultRowHeight="14.4" x14ac:dyDescent="0.3"/>
  <cols>
    <col min="1" max="1" width="7" bestFit="1" customWidth="1"/>
    <col min="2" max="2" width="17.5546875" bestFit="1" customWidth="1"/>
    <col min="3" max="3" width="21.88671875" customWidth="1"/>
    <col min="4" max="4" width="22.5546875" bestFit="1" customWidth="1"/>
    <col min="5" max="5" width="23.77734375" bestFit="1" customWidth="1"/>
    <col min="6" max="6" width="20.88671875" bestFit="1" customWidth="1"/>
    <col min="7" max="7" width="21.77734375" bestFit="1" customWidth="1"/>
    <col min="8" max="8" width="18.5546875" bestFit="1" customWidth="1"/>
    <col min="9" max="9" width="4" bestFit="1" customWidth="1"/>
    <col min="10" max="10" width="6.88671875" bestFit="1" customWidth="1"/>
    <col min="11" max="11" width="17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</row>
    <row r="2" spans="1:12" x14ac:dyDescent="0.3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13</v>
      </c>
      <c r="K2">
        <v>4</v>
      </c>
      <c r="L2">
        <f>IF(AND(I2&gt;18,I2&lt;35),1,2)</f>
        <v>2</v>
      </c>
    </row>
    <row r="3" spans="1:12" x14ac:dyDescent="0.3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15</v>
      </c>
      <c r="K3">
        <v>3</v>
      </c>
      <c r="L3">
        <f t="shared" ref="L3:L66" si="0">IF(AND(I3&gt;18,I3&lt;35),1,2)</f>
        <v>2</v>
      </c>
    </row>
    <row r="4" spans="1:12" x14ac:dyDescent="0.3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13</v>
      </c>
      <c r="K4">
        <v>2</v>
      </c>
      <c r="L4">
        <f t="shared" si="0"/>
        <v>2</v>
      </c>
    </row>
    <row r="5" spans="1:12" x14ac:dyDescent="0.3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13</v>
      </c>
      <c r="K5">
        <v>3</v>
      </c>
      <c r="L5">
        <f t="shared" si="0"/>
        <v>1</v>
      </c>
    </row>
    <row r="6" spans="1:12" x14ac:dyDescent="0.3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15</v>
      </c>
      <c r="K6">
        <v>3</v>
      </c>
      <c r="L6">
        <f t="shared" si="0"/>
        <v>1</v>
      </c>
    </row>
    <row r="7" spans="1:12" x14ac:dyDescent="0.3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13</v>
      </c>
      <c r="K7">
        <v>2</v>
      </c>
      <c r="L7">
        <f t="shared" si="0"/>
        <v>1</v>
      </c>
    </row>
    <row r="8" spans="1:12" x14ac:dyDescent="0.3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15</v>
      </c>
      <c r="K8">
        <v>4</v>
      </c>
      <c r="L8">
        <f t="shared" si="0"/>
        <v>1</v>
      </c>
    </row>
    <row r="9" spans="1:12" x14ac:dyDescent="0.3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13</v>
      </c>
      <c r="K9">
        <v>5</v>
      </c>
      <c r="L9">
        <f t="shared" si="0"/>
        <v>1</v>
      </c>
    </row>
    <row r="10" spans="1:12" x14ac:dyDescent="0.3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15</v>
      </c>
      <c r="K10">
        <v>4</v>
      </c>
      <c r="L10">
        <f t="shared" si="0"/>
        <v>2</v>
      </c>
    </row>
    <row r="11" spans="1:12" x14ac:dyDescent="0.3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13</v>
      </c>
      <c r="K11">
        <v>4</v>
      </c>
      <c r="L11">
        <f t="shared" si="0"/>
        <v>2</v>
      </c>
    </row>
    <row r="12" spans="1:12" x14ac:dyDescent="0.3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15</v>
      </c>
      <c r="K12">
        <v>1</v>
      </c>
      <c r="L12">
        <f t="shared" si="0"/>
        <v>1</v>
      </c>
    </row>
    <row r="13" spans="1:12" x14ac:dyDescent="0.3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13</v>
      </c>
      <c r="K13">
        <v>3</v>
      </c>
      <c r="L13">
        <f t="shared" si="0"/>
        <v>1</v>
      </c>
    </row>
    <row r="14" spans="1:12" x14ac:dyDescent="0.3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15</v>
      </c>
      <c r="K14">
        <v>4</v>
      </c>
      <c r="L14">
        <f t="shared" si="0"/>
        <v>2</v>
      </c>
    </row>
    <row r="15" spans="1:12" x14ac:dyDescent="0.3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13</v>
      </c>
      <c r="K15">
        <v>3</v>
      </c>
      <c r="L15">
        <f t="shared" si="0"/>
        <v>2</v>
      </c>
    </row>
    <row r="16" spans="1:12" x14ac:dyDescent="0.3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15</v>
      </c>
      <c r="K16">
        <v>3</v>
      </c>
      <c r="L16">
        <f t="shared" si="0"/>
        <v>2</v>
      </c>
    </row>
    <row r="17" spans="1:12" x14ac:dyDescent="0.3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15</v>
      </c>
      <c r="K17">
        <v>5</v>
      </c>
      <c r="L17">
        <f t="shared" si="0"/>
        <v>2</v>
      </c>
    </row>
    <row r="18" spans="1:12" x14ac:dyDescent="0.3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15</v>
      </c>
      <c r="K18">
        <v>2</v>
      </c>
      <c r="L18">
        <f t="shared" si="0"/>
        <v>2</v>
      </c>
    </row>
    <row r="19" spans="1:12" x14ac:dyDescent="0.3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15</v>
      </c>
      <c r="K19">
        <v>3</v>
      </c>
      <c r="L19">
        <f t="shared" si="0"/>
        <v>2</v>
      </c>
    </row>
    <row r="20" spans="1:12" x14ac:dyDescent="0.3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15</v>
      </c>
      <c r="K20">
        <v>1</v>
      </c>
      <c r="L20">
        <f t="shared" si="0"/>
        <v>1</v>
      </c>
    </row>
    <row r="21" spans="1:12" x14ac:dyDescent="0.3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15</v>
      </c>
      <c r="K21">
        <v>5</v>
      </c>
      <c r="L21">
        <f t="shared" si="0"/>
        <v>1</v>
      </c>
    </row>
    <row r="22" spans="1:12" x14ac:dyDescent="0.3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15</v>
      </c>
      <c r="K22">
        <v>2</v>
      </c>
      <c r="L22">
        <f t="shared" si="0"/>
        <v>2</v>
      </c>
    </row>
    <row r="23" spans="1:12" x14ac:dyDescent="0.3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15</v>
      </c>
      <c r="K23">
        <v>5</v>
      </c>
      <c r="L23">
        <f t="shared" si="0"/>
        <v>2</v>
      </c>
    </row>
    <row r="24" spans="1:12" x14ac:dyDescent="0.3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15</v>
      </c>
      <c r="K24">
        <v>4</v>
      </c>
      <c r="L24">
        <f t="shared" si="0"/>
        <v>1</v>
      </c>
    </row>
    <row r="25" spans="1:12" x14ac:dyDescent="0.3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15</v>
      </c>
      <c r="K25">
        <v>3</v>
      </c>
      <c r="L25">
        <f t="shared" si="0"/>
        <v>2</v>
      </c>
    </row>
    <row r="26" spans="1:12" x14ac:dyDescent="0.3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13</v>
      </c>
      <c r="K26">
        <v>3</v>
      </c>
      <c r="L26">
        <f t="shared" si="0"/>
        <v>2</v>
      </c>
    </row>
    <row r="27" spans="1:12" x14ac:dyDescent="0.3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13</v>
      </c>
      <c r="K27">
        <v>2</v>
      </c>
      <c r="L27">
        <f t="shared" si="0"/>
        <v>2</v>
      </c>
    </row>
    <row r="28" spans="1:12" x14ac:dyDescent="0.3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13</v>
      </c>
      <c r="K28">
        <v>4</v>
      </c>
      <c r="L28">
        <f t="shared" si="0"/>
        <v>1</v>
      </c>
    </row>
    <row r="29" spans="1:12" x14ac:dyDescent="0.3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13</v>
      </c>
      <c r="K29">
        <v>5</v>
      </c>
      <c r="L29">
        <f t="shared" si="0"/>
        <v>1</v>
      </c>
    </row>
    <row r="30" spans="1:12" x14ac:dyDescent="0.3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15</v>
      </c>
      <c r="K30">
        <v>4</v>
      </c>
      <c r="L30">
        <f t="shared" si="0"/>
        <v>2</v>
      </c>
    </row>
    <row r="31" spans="1:12" x14ac:dyDescent="0.3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15</v>
      </c>
      <c r="K31">
        <v>4</v>
      </c>
      <c r="L31">
        <f t="shared" si="0"/>
        <v>1</v>
      </c>
    </row>
    <row r="32" spans="1:12" x14ac:dyDescent="0.3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15</v>
      </c>
      <c r="K32">
        <v>3</v>
      </c>
      <c r="L32">
        <f t="shared" si="0"/>
        <v>2</v>
      </c>
    </row>
    <row r="33" spans="1:12" x14ac:dyDescent="0.3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13</v>
      </c>
      <c r="K33">
        <v>3</v>
      </c>
      <c r="L33">
        <f t="shared" si="0"/>
        <v>1</v>
      </c>
    </row>
    <row r="34" spans="1:12" x14ac:dyDescent="0.3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13</v>
      </c>
      <c r="K34">
        <v>3</v>
      </c>
      <c r="L34">
        <f t="shared" si="0"/>
        <v>1</v>
      </c>
    </row>
    <row r="35" spans="1:12" x14ac:dyDescent="0.3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13</v>
      </c>
      <c r="K35">
        <v>1</v>
      </c>
      <c r="L35">
        <f t="shared" si="0"/>
        <v>2</v>
      </c>
    </row>
    <row r="36" spans="1:12" x14ac:dyDescent="0.3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15</v>
      </c>
      <c r="K36">
        <v>5</v>
      </c>
      <c r="L36">
        <f t="shared" si="0"/>
        <v>2</v>
      </c>
    </row>
    <row r="37" spans="1:12" x14ac:dyDescent="0.3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15</v>
      </c>
      <c r="K37">
        <v>1</v>
      </c>
      <c r="L37">
        <f t="shared" si="0"/>
        <v>1</v>
      </c>
    </row>
    <row r="38" spans="1:12" x14ac:dyDescent="0.3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13</v>
      </c>
      <c r="K38">
        <v>2</v>
      </c>
      <c r="L38">
        <f t="shared" si="0"/>
        <v>1</v>
      </c>
    </row>
    <row r="39" spans="1:12" x14ac:dyDescent="0.3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13</v>
      </c>
      <c r="K39">
        <v>5</v>
      </c>
      <c r="L39">
        <f t="shared" si="0"/>
        <v>1</v>
      </c>
    </row>
    <row r="40" spans="1:12" x14ac:dyDescent="0.3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13</v>
      </c>
      <c r="K40">
        <v>4</v>
      </c>
      <c r="L40">
        <f t="shared" si="0"/>
        <v>2</v>
      </c>
    </row>
    <row r="41" spans="1:12" x14ac:dyDescent="0.3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13</v>
      </c>
      <c r="K41">
        <v>4</v>
      </c>
      <c r="L41">
        <f t="shared" si="0"/>
        <v>1</v>
      </c>
    </row>
    <row r="42" spans="1:12" x14ac:dyDescent="0.3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15</v>
      </c>
      <c r="K42">
        <v>3</v>
      </c>
      <c r="L42">
        <f t="shared" si="0"/>
        <v>2</v>
      </c>
    </row>
    <row r="43" spans="1:12" x14ac:dyDescent="0.3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13</v>
      </c>
      <c r="K43">
        <v>5</v>
      </c>
      <c r="L43">
        <f t="shared" si="0"/>
        <v>1</v>
      </c>
    </row>
    <row r="44" spans="1:12" x14ac:dyDescent="0.3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13</v>
      </c>
      <c r="K44">
        <v>2</v>
      </c>
      <c r="L44">
        <f t="shared" si="0"/>
        <v>2</v>
      </c>
    </row>
    <row r="45" spans="1:12" x14ac:dyDescent="0.3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13</v>
      </c>
      <c r="K45">
        <v>2</v>
      </c>
      <c r="L45">
        <f t="shared" si="0"/>
        <v>2</v>
      </c>
    </row>
    <row r="46" spans="1:12" x14ac:dyDescent="0.3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15</v>
      </c>
      <c r="K46">
        <v>2</v>
      </c>
      <c r="L46">
        <f t="shared" si="0"/>
        <v>2</v>
      </c>
    </row>
    <row r="47" spans="1:12" x14ac:dyDescent="0.3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13</v>
      </c>
      <c r="K47">
        <v>5</v>
      </c>
      <c r="L47">
        <f t="shared" si="0"/>
        <v>2</v>
      </c>
    </row>
    <row r="48" spans="1:12" x14ac:dyDescent="0.3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15</v>
      </c>
      <c r="K48">
        <v>5</v>
      </c>
      <c r="L48">
        <f t="shared" si="0"/>
        <v>1</v>
      </c>
    </row>
    <row r="49" spans="1:12" x14ac:dyDescent="0.3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15</v>
      </c>
      <c r="K49">
        <v>2</v>
      </c>
      <c r="L49">
        <f t="shared" si="0"/>
        <v>1</v>
      </c>
    </row>
    <row r="50" spans="1:12" x14ac:dyDescent="0.3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13</v>
      </c>
      <c r="K50">
        <v>5</v>
      </c>
      <c r="L50">
        <f t="shared" si="0"/>
        <v>2</v>
      </c>
    </row>
    <row r="51" spans="1:12" x14ac:dyDescent="0.3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13</v>
      </c>
      <c r="K51">
        <v>5</v>
      </c>
      <c r="L51">
        <f t="shared" si="0"/>
        <v>2</v>
      </c>
    </row>
    <row r="52" spans="1:12" x14ac:dyDescent="0.3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15</v>
      </c>
      <c r="K52">
        <v>4</v>
      </c>
      <c r="L52">
        <f t="shared" si="0"/>
        <v>2</v>
      </c>
    </row>
    <row r="53" spans="1:12" x14ac:dyDescent="0.3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13</v>
      </c>
      <c r="K53">
        <v>3</v>
      </c>
      <c r="L53">
        <f t="shared" si="0"/>
        <v>1</v>
      </c>
    </row>
    <row r="54" spans="1:12" x14ac:dyDescent="0.3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15</v>
      </c>
      <c r="K54">
        <v>2</v>
      </c>
      <c r="L54">
        <f t="shared" si="0"/>
        <v>1</v>
      </c>
    </row>
    <row r="55" spans="1:12" x14ac:dyDescent="0.3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13</v>
      </c>
      <c r="K55">
        <v>2</v>
      </c>
      <c r="L55">
        <f t="shared" si="0"/>
        <v>2</v>
      </c>
    </row>
    <row r="56" spans="1:12" x14ac:dyDescent="0.3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15</v>
      </c>
      <c r="K56">
        <v>5</v>
      </c>
      <c r="L56">
        <f t="shared" si="0"/>
        <v>2</v>
      </c>
    </row>
    <row r="57" spans="1:12" x14ac:dyDescent="0.3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13</v>
      </c>
      <c r="K57">
        <v>1</v>
      </c>
      <c r="L57">
        <f t="shared" si="0"/>
        <v>1</v>
      </c>
    </row>
    <row r="58" spans="1:12" x14ac:dyDescent="0.3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15</v>
      </c>
      <c r="K58">
        <v>1</v>
      </c>
      <c r="L58">
        <f t="shared" si="0"/>
        <v>2</v>
      </c>
    </row>
    <row r="59" spans="1:12" x14ac:dyDescent="0.3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13</v>
      </c>
      <c r="K59">
        <v>5</v>
      </c>
      <c r="L59">
        <f t="shared" si="0"/>
        <v>1</v>
      </c>
    </row>
    <row r="60" spans="1:12" x14ac:dyDescent="0.3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13</v>
      </c>
      <c r="K60">
        <v>4</v>
      </c>
      <c r="L60">
        <f t="shared" si="0"/>
        <v>1</v>
      </c>
    </row>
    <row r="61" spans="1:12" x14ac:dyDescent="0.3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13</v>
      </c>
      <c r="K61">
        <v>4</v>
      </c>
      <c r="L61">
        <f t="shared" si="0"/>
        <v>2</v>
      </c>
    </row>
    <row r="62" spans="1:12" x14ac:dyDescent="0.3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15</v>
      </c>
      <c r="K62">
        <v>5</v>
      </c>
      <c r="L62">
        <f t="shared" si="0"/>
        <v>1</v>
      </c>
    </row>
    <row r="63" spans="1:12" x14ac:dyDescent="0.3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15</v>
      </c>
      <c r="K63">
        <v>4</v>
      </c>
      <c r="L63">
        <f t="shared" si="0"/>
        <v>2</v>
      </c>
    </row>
    <row r="64" spans="1:12" x14ac:dyDescent="0.3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13</v>
      </c>
      <c r="K64">
        <v>1</v>
      </c>
      <c r="L64">
        <f t="shared" si="0"/>
        <v>2</v>
      </c>
    </row>
    <row r="65" spans="1:12" x14ac:dyDescent="0.3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15</v>
      </c>
      <c r="K65">
        <v>5</v>
      </c>
      <c r="L65">
        <f t="shared" si="0"/>
        <v>1</v>
      </c>
    </row>
    <row r="66" spans="1:12" x14ac:dyDescent="0.3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13</v>
      </c>
      <c r="K66">
        <v>4</v>
      </c>
      <c r="L66">
        <f t="shared" si="0"/>
        <v>2</v>
      </c>
    </row>
    <row r="67" spans="1:12" x14ac:dyDescent="0.3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13</v>
      </c>
      <c r="K67">
        <v>3</v>
      </c>
      <c r="L67">
        <f t="shared" ref="L67:L130" si="1">IF(AND(I67&gt;18,I67&lt;35),1,2)</f>
        <v>2</v>
      </c>
    </row>
    <row r="68" spans="1:12" x14ac:dyDescent="0.3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13</v>
      </c>
      <c r="K68">
        <v>3</v>
      </c>
      <c r="L68">
        <f t="shared" si="1"/>
        <v>2</v>
      </c>
    </row>
    <row r="69" spans="1:12" x14ac:dyDescent="0.3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15</v>
      </c>
      <c r="K69">
        <v>2</v>
      </c>
      <c r="L69">
        <f t="shared" si="1"/>
        <v>1</v>
      </c>
    </row>
    <row r="70" spans="1:12" x14ac:dyDescent="0.3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13</v>
      </c>
      <c r="K70">
        <v>5</v>
      </c>
      <c r="L70">
        <f t="shared" si="1"/>
        <v>1</v>
      </c>
    </row>
    <row r="71" spans="1:12" x14ac:dyDescent="0.3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15</v>
      </c>
      <c r="K71">
        <v>1</v>
      </c>
      <c r="L71">
        <f t="shared" si="1"/>
        <v>1</v>
      </c>
    </row>
    <row r="72" spans="1:12" x14ac:dyDescent="0.3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15</v>
      </c>
      <c r="K72">
        <v>4</v>
      </c>
      <c r="L72">
        <f t="shared" si="1"/>
        <v>2</v>
      </c>
    </row>
    <row r="73" spans="1:12" x14ac:dyDescent="0.3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13</v>
      </c>
      <c r="K73">
        <v>5</v>
      </c>
      <c r="L73">
        <f t="shared" si="1"/>
        <v>2</v>
      </c>
    </row>
    <row r="74" spans="1:12" x14ac:dyDescent="0.3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13</v>
      </c>
      <c r="K74">
        <v>4</v>
      </c>
      <c r="L74">
        <f t="shared" si="1"/>
        <v>1</v>
      </c>
    </row>
    <row r="75" spans="1:12" x14ac:dyDescent="0.3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15</v>
      </c>
      <c r="K75">
        <v>1</v>
      </c>
      <c r="L75">
        <f t="shared" si="1"/>
        <v>2</v>
      </c>
    </row>
    <row r="76" spans="1:12" x14ac:dyDescent="0.3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13</v>
      </c>
      <c r="K76">
        <v>1</v>
      </c>
      <c r="L76">
        <f t="shared" si="1"/>
        <v>2</v>
      </c>
    </row>
    <row r="77" spans="1:12" x14ac:dyDescent="0.3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15</v>
      </c>
      <c r="K77">
        <v>3</v>
      </c>
      <c r="L77">
        <f t="shared" si="1"/>
        <v>1</v>
      </c>
    </row>
    <row r="78" spans="1:12" x14ac:dyDescent="0.3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15</v>
      </c>
      <c r="K78">
        <v>1</v>
      </c>
      <c r="L78">
        <f t="shared" si="1"/>
        <v>2</v>
      </c>
    </row>
    <row r="79" spans="1:12" x14ac:dyDescent="0.3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15</v>
      </c>
      <c r="K79">
        <v>2</v>
      </c>
      <c r="L79">
        <f t="shared" si="1"/>
        <v>1</v>
      </c>
    </row>
    <row r="80" spans="1:12" x14ac:dyDescent="0.3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15</v>
      </c>
      <c r="K80">
        <v>1</v>
      </c>
      <c r="L80">
        <f t="shared" si="1"/>
        <v>2</v>
      </c>
    </row>
    <row r="81" spans="1:12" x14ac:dyDescent="0.3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15</v>
      </c>
      <c r="K81">
        <v>3</v>
      </c>
      <c r="L81">
        <f t="shared" si="1"/>
        <v>1</v>
      </c>
    </row>
    <row r="82" spans="1:12" x14ac:dyDescent="0.3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15</v>
      </c>
      <c r="K82">
        <v>5</v>
      </c>
      <c r="L82">
        <f t="shared" si="1"/>
        <v>2</v>
      </c>
    </row>
    <row r="83" spans="1:12" x14ac:dyDescent="0.3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13</v>
      </c>
      <c r="K83">
        <v>2</v>
      </c>
      <c r="L83">
        <f t="shared" si="1"/>
        <v>2</v>
      </c>
    </row>
    <row r="84" spans="1:12" x14ac:dyDescent="0.3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15</v>
      </c>
      <c r="K84">
        <v>4</v>
      </c>
      <c r="L84">
        <f t="shared" si="1"/>
        <v>1</v>
      </c>
    </row>
    <row r="85" spans="1:12" x14ac:dyDescent="0.3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13</v>
      </c>
      <c r="K85">
        <v>1</v>
      </c>
      <c r="L85">
        <f t="shared" si="1"/>
        <v>1</v>
      </c>
    </row>
    <row r="86" spans="1:12" x14ac:dyDescent="0.3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15</v>
      </c>
      <c r="K86">
        <v>3</v>
      </c>
      <c r="L86">
        <f t="shared" si="1"/>
        <v>1</v>
      </c>
    </row>
    <row r="87" spans="1:12" x14ac:dyDescent="0.3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13</v>
      </c>
      <c r="K87">
        <v>4</v>
      </c>
      <c r="L87">
        <f t="shared" si="1"/>
        <v>2</v>
      </c>
    </row>
    <row r="88" spans="1:12" x14ac:dyDescent="0.3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13</v>
      </c>
      <c r="K88">
        <v>2</v>
      </c>
      <c r="L88">
        <f t="shared" si="1"/>
        <v>2</v>
      </c>
    </row>
    <row r="89" spans="1:12" x14ac:dyDescent="0.3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13</v>
      </c>
      <c r="K89">
        <v>1</v>
      </c>
      <c r="L89">
        <f t="shared" si="1"/>
        <v>2</v>
      </c>
    </row>
    <row r="90" spans="1:12" x14ac:dyDescent="0.3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15</v>
      </c>
      <c r="K90">
        <v>2</v>
      </c>
      <c r="L90">
        <f t="shared" si="1"/>
        <v>1</v>
      </c>
    </row>
    <row r="91" spans="1:12" x14ac:dyDescent="0.3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13</v>
      </c>
      <c r="K91">
        <v>4</v>
      </c>
      <c r="L91">
        <f t="shared" si="1"/>
        <v>2</v>
      </c>
    </row>
    <row r="92" spans="1:12" x14ac:dyDescent="0.3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15</v>
      </c>
      <c r="K92">
        <v>2</v>
      </c>
      <c r="L92">
        <f t="shared" si="1"/>
        <v>2</v>
      </c>
    </row>
    <row r="93" spans="1:12" x14ac:dyDescent="0.3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15</v>
      </c>
      <c r="K93">
        <v>3</v>
      </c>
      <c r="L93">
        <f t="shared" si="1"/>
        <v>1</v>
      </c>
    </row>
    <row r="94" spans="1:12" x14ac:dyDescent="0.3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15</v>
      </c>
      <c r="K94">
        <v>1</v>
      </c>
      <c r="L94">
        <f t="shared" si="1"/>
        <v>2</v>
      </c>
    </row>
    <row r="95" spans="1:12" x14ac:dyDescent="0.3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13</v>
      </c>
      <c r="K95">
        <v>2</v>
      </c>
      <c r="L95">
        <f t="shared" si="1"/>
        <v>2</v>
      </c>
    </row>
    <row r="96" spans="1:12" x14ac:dyDescent="0.3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13</v>
      </c>
      <c r="K96">
        <v>4</v>
      </c>
      <c r="L96">
        <f t="shared" si="1"/>
        <v>2</v>
      </c>
    </row>
    <row r="97" spans="1:12" x14ac:dyDescent="0.3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13</v>
      </c>
      <c r="K97">
        <v>4</v>
      </c>
      <c r="L97">
        <f t="shared" si="1"/>
        <v>2</v>
      </c>
    </row>
    <row r="98" spans="1:12" x14ac:dyDescent="0.3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13</v>
      </c>
      <c r="K98">
        <v>5</v>
      </c>
      <c r="L98">
        <f t="shared" si="1"/>
        <v>1</v>
      </c>
    </row>
    <row r="99" spans="1:12" x14ac:dyDescent="0.3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15</v>
      </c>
      <c r="K99">
        <v>5</v>
      </c>
      <c r="L99">
        <f t="shared" si="1"/>
        <v>1</v>
      </c>
    </row>
    <row r="100" spans="1:12" x14ac:dyDescent="0.3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15</v>
      </c>
      <c r="K100">
        <v>1</v>
      </c>
      <c r="L100">
        <f t="shared" si="1"/>
        <v>1</v>
      </c>
    </row>
    <row r="101" spans="1:12" x14ac:dyDescent="0.3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15</v>
      </c>
      <c r="K101">
        <v>3</v>
      </c>
      <c r="L101">
        <f t="shared" si="1"/>
        <v>2</v>
      </c>
    </row>
    <row r="102" spans="1:12" x14ac:dyDescent="0.3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13</v>
      </c>
      <c r="K102">
        <v>1</v>
      </c>
      <c r="L102">
        <f t="shared" si="1"/>
        <v>2</v>
      </c>
    </row>
    <row r="103" spans="1:12" x14ac:dyDescent="0.3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13</v>
      </c>
      <c r="K103">
        <v>3</v>
      </c>
      <c r="L103">
        <f t="shared" si="1"/>
        <v>1</v>
      </c>
    </row>
    <row r="104" spans="1:12" x14ac:dyDescent="0.3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15</v>
      </c>
      <c r="K104">
        <v>2</v>
      </c>
      <c r="L104">
        <f t="shared" si="1"/>
        <v>1</v>
      </c>
    </row>
    <row r="105" spans="1:12" x14ac:dyDescent="0.3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13</v>
      </c>
      <c r="K105">
        <v>3</v>
      </c>
      <c r="L105">
        <f t="shared" si="1"/>
        <v>1</v>
      </c>
    </row>
    <row r="106" spans="1:12" x14ac:dyDescent="0.3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13</v>
      </c>
      <c r="K106">
        <v>2</v>
      </c>
      <c r="L106">
        <f t="shared" si="1"/>
        <v>1</v>
      </c>
    </row>
    <row r="107" spans="1:12" x14ac:dyDescent="0.3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13</v>
      </c>
      <c r="K107">
        <v>1</v>
      </c>
      <c r="L107">
        <f t="shared" si="1"/>
        <v>2</v>
      </c>
    </row>
    <row r="108" spans="1:12" x14ac:dyDescent="0.3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13</v>
      </c>
      <c r="K108">
        <v>2</v>
      </c>
      <c r="L108">
        <f t="shared" si="1"/>
        <v>2</v>
      </c>
    </row>
    <row r="109" spans="1:12" x14ac:dyDescent="0.3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15</v>
      </c>
      <c r="K109">
        <v>1</v>
      </c>
      <c r="L109">
        <f t="shared" si="1"/>
        <v>1</v>
      </c>
    </row>
    <row r="110" spans="1:12" x14ac:dyDescent="0.3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15</v>
      </c>
      <c r="K110">
        <v>3</v>
      </c>
      <c r="L110">
        <f t="shared" si="1"/>
        <v>2</v>
      </c>
    </row>
    <row r="111" spans="1:12" x14ac:dyDescent="0.3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15</v>
      </c>
      <c r="K111">
        <v>3</v>
      </c>
      <c r="L111">
        <f t="shared" si="1"/>
        <v>2</v>
      </c>
    </row>
    <row r="112" spans="1:12" x14ac:dyDescent="0.3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15</v>
      </c>
      <c r="K112">
        <v>2</v>
      </c>
      <c r="L112">
        <f t="shared" si="1"/>
        <v>2</v>
      </c>
    </row>
    <row r="113" spans="1:12" x14ac:dyDescent="0.3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13</v>
      </c>
      <c r="K113">
        <v>5</v>
      </c>
      <c r="L113">
        <f t="shared" si="1"/>
        <v>1</v>
      </c>
    </row>
    <row r="114" spans="1:12" x14ac:dyDescent="0.3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15</v>
      </c>
      <c r="K114">
        <v>3</v>
      </c>
      <c r="L114">
        <f t="shared" si="1"/>
        <v>1</v>
      </c>
    </row>
    <row r="115" spans="1:12" x14ac:dyDescent="0.3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13</v>
      </c>
      <c r="K115">
        <v>2</v>
      </c>
      <c r="L115">
        <f t="shared" si="1"/>
        <v>2</v>
      </c>
    </row>
    <row r="116" spans="1:12" x14ac:dyDescent="0.3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15</v>
      </c>
      <c r="K116">
        <v>4</v>
      </c>
      <c r="L116">
        <f t="shared" si="1"/>
        <v>2</v>
      </c>
    </row>
    <row r="117" spans="1:12" x14ac:dyDescent="0.3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13</v>
      </c>
      <c r="K117">
        <v>2</v>
      </c>
      <c r="L117">
        <f t="shared" si="1"/>
        <v>2</v>
      </c>
    </row>
    <row r="118" spans="1:12" x14ac:dyDescent="0.3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13</v>
      </c>
      <c r="K118">
        <v>1</v>
      </c>
      <c r="L118">
        <f t="shared" si="1"/>
        <v>2</v>
      </c>
    </row>
    <row r="119" spans="1:12" x14ac:dyDescent="0.3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15</v>
      </c>
      <c r="K119">
        <v>3</v>
      </c>
      <c r="L119">
        <f t="shared" si="1"/>
        <v>1</v>
      </c>
    </row>
    <row r="120" spans="1:12" x14ac:dyDescent="0.3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15</v>
      </c>
      <c r="K120">
        <v>1</v>
      </c>
      <c r="L120">
        <f t="shared" si="1"/>
        <v>1</v>
      </c>
    </row>
    <row r="121" spans="1:12" x14ac:dyDescent="0.3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13</v>
      </c>
      <c r="K121">
        <v>2</v>
      </c>
      <c r="L121">
        <f t="shared" si="1"/>
        <v>2</v>
      </c>
    </row>
    <row r="122" spans="1:12" x14ac:dyDescent="0.3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15</v>
      </c>
      <c r="K122">
        <v>4</v>
      </c>
      <c r="L122">
        <f t="shared" si="1"/>
        <v>2</v>
      </c>
    </row>
    <row r="123" spans="1:12" x14ac:dyDescent="0.3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15</v>
      </c>
      <c r="K123">
        <v>5</v>
      </c>
      <c r="L123">
        <f t="shared" si="1"/>
        <v>2</v>
      </c>
    </row>
    <row r="124" spans="1:12" x14ac:dyDescent="0.3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15</v>
      </c>
      <c r="K124">
        <v>5</v>
      </c>
      <c r="L124">
        <f t="shared" si="1"/>
        <v>2</v>
      </c>
    </row>
    <row r="125" spans="1:12" x14ac:dyDescent="0.3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13</v>
      </c>
      <c r="K125">
        <v>5</v>
      </c>
      <c r="L125">
        <f t="shared" si="1"/>
        <v>2</v>
      </c>
    </row>
    <row r="126" spans="1:12" x14ac:dyDescent="0.3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13</v>
      </c>
      <c r="K126">
        <v>3</v>
      </c>
      <c r="L126">
        <f t="shared" si="1"/>
        <v>1</v>
      </c>
    </row>
    <row r="127" spans="1:12" x14ac:dyDescent="0.3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13</v>
      </c>
      <c r="K127">
        <v>5</v>
      </c>
      <c r="L127">
        <f t="shared" si="1"/>
        <v>2</v>
      </c>
    </row>
    <row r="128" spans="1:12" x14ac:dyDescent="0.3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15</v>
      </c>
      <c r="K128">
        <v>4</v>
      </c>
      <c r="L128">
        <f t="shared" si="1"/>
        <v>1</v>
      </c>
    </row>
    <row r="129" spans="1:12" x14ac:dyDescent="0.3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15</v>
      </c>
      <c r="K129">
        <v>3</v>
      </c>
      <c r="L129">
        <f t="shared" si="1"/>
        <v>2</v>
      </c>
    </row>
    <row r="130" spans="1:12" x14ac:dyDescent="0.3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13</v>
      </c>
      <c r="K130">
        <v>2</v>
      </c>
      <c r="L130">
        <f t="shared" si="1"/>
        <v>1</v>
      </c>
    </row>
    <row r="131" spans="1:12" x14ac:dyDescent="0.3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15</v>
      </c>
      <c r="K131">
        <v>2</v>
      </c>
      <c r="L131">
        <f t="shared" ref="L131:L194" si="2">IF(AND(I131&gt;18,I131&lt;35),1,2)</f>
        <v>2</v>
      </c>
    </row>
    <row r="132" spans="1:12" x14ac:dyDescent="0.3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13</v>
      </c>
      <c r="K132">
        <v>5</v>
      </c>
      <c r="L132">
        <f t="shared" si="2"/>
        <v>2</v>
      </c>
    </row>
    <row r="133" spans="1:12" x14ac:dyDescent="0.3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15</v>
      </c>
      <c r="K133">
        <v>4</v>
      </c>
      <c r="L133">
        <f t="shared" si="2"/>
        <v>2</v>
      </c>
    </row>
    <row r="134" spans="1:12" x14ac:dyDescent="0.3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15</v>
      </c>
      <c r="K134">
        <v>2</v>
      </c>
      <c r="L134">
        <f t="shared" si="2"/>
        <v>2</v>
      </c>
    </row>
    <row r="135" spans="1:12" x14ac:dyDescent="0.3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13</v>
      </c>
      <c r="K135">
        <v>1</v>
      </c>
      <c r="L135">
        <f t="shared" si="2"/>
        <v>2</v>
      </c>
    </row>
    <row r="136" spans="1:12" x14ac:dyDescent="0.3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13</v>
      </c>
      <c r="K136">
        <v>1</v>
      </c>
      <c r="L136">
        <f t="shared" si="2"/>
        <v>2</v>
      </c>
    </row>
    <row r="137" spans="1:12" x14ac:dyDescent="0.3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15</v>
      </c>
      <c r="K137">
        <v>5</v>
      </c>
      <c r="L137">
        <f t="shared" si="2"/>
        <v>2</v>
      </c>
    </row>
    <row r="138" spans="1:12" x14ac:dyDescent="0.3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13</v>
      </c>
      <c r="K138">
        <v>1</v>
      </c>
      <c r="L138">
        <f t="shared" si="2"/>
        <v>2</v>
      </c>
    </row>
    <row r="139" spans="1:12" x14ac:dyDescent="0.3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15</v>
      </c>
      <c r="K139">
        <v>3</v>
      </c>
      <c r="L139">
        <f t="shared" si="2"/>
        <v>1</v>
      </c>
    </row>
    <row r="140" spans="1:12" x14ac:dyDescent="0.3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13</v>
      </c>
      <c r="K140">
        <v>5</v>
      </c>
      <c r="L140">
        <f t="shared" si="2"/>
        <v>2</v>
      </c>
    </row>
    <row r="141" spans="1:12" x14ac:dyDescent="0.3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13</v>
      </c>
      <c r="K141">
        <v>5</v>
      </c>
      <c r="L141">
        <f t="shared" si="2"/>
        <v>2</v>
      </c>
    </row>
    <row r="142" spans="1:12" x14ac:dyDescent="0.3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15</v>
      </c>
      <c r="K142">
        <v>3</v>
      </c>
      <c r="L142">
        <f t="shared" si="2"/>
        <v>2</v>
      </c>
    </row>
    <row r="143" spans="1:12" x14ac:dyDescent="0.3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13</v>
      </c>
      <c r="K143">
        <v>4</v>
      </c>
      <c r="L143">
        <f t="shared" si="2"/>
        <v>2</v>
      </c>
    </row>
    <row r="144" spans="1:12" x14ac:dyDescent="0.3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15</v>
      </c>
      <c r="K144">
        <v>2</v>
      </c>
      <c r="L144">
        <f t="shared" si="2"/>
        <v>2</v>
      </c>
    </row>
    <row r="145" spans="1:12" x14ac:dyDescent="0.3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13</v>
      </c>
      <c r="K145">
        <v>1</v>
      </c>
      <c r="L145">
        <f t="shared" si="2"/>
        <v>1</v>
      </c>
    </row>
    <row r="146" spans="1:12" x14ac:dyDescent="0.3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15</v>
      </c>
      <c r="K146">
        <v>5</v>
      </c>
      <c r="L146">
        <f t="shared" si="2"/>
        <v>1</v>
      </c>
    </row>
    <row r="147" spans="1:12" x14ac:dyDescent="0.3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13</v>
      </c>
      <c r="K147">
        <v>3</v>
      </c>
      <c r="L147">
        <f t="shared" si="2"/>
        <v>2</v>
      </c>
    </row>
    <row r="148" spans="1:12" x14ac:dyDescent="0.3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13</v>
      </c>
      <c r="K148">
        <v>4</v>
      </c>
      <c r="L148">
        <f t="shared" si="2"/>
        <v>1</v>
      </c>
    </row>
    <row r="149" spans="1:12" x14ac:dyDescent="0.3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13</v>
      </c>
      <c r="K149">
        <v>1</v>
      </c>
      <c r="L149">
        <f t="shared" si="2"/>
        <v>1</v>
      </c>
    </row>
    <row r="150" spans="1:12" x14ac:dyDescent="0.3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13</v>
      </c>
      <c r="K150">
        <v>3</v>
      </c>
      <c r="L150">
        <f t="shared" si="2"/>
        <v>2</v>
      </c>
    </row>
    <row r="151" spans="1:12" x14ac:dyDescent="0.3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13</v>
      </c>
      <c r="K151">
        <v>2</v>
      </c>
      <c r="L151">
        <f t="shared" si="2"/>
        <v>2</v>
      </c>
    </row>
    <row r="152" spans="1:12" x14ac:dyDescent="0.3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13</v>
      </c>
      <c r="K152">
        <v>5</v>
      </c>
      <c r="L152">
        <f t="shared" si="2"/>
        <v>1</v>
      </c>
    </row>
    <row r="153" spans="1:12" x14ac:dyDescent="0.3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15</v>
      </c>
      <c r="K153">
        <v>1</v>
      </c>
      <c r="L153">
        <f t="shared" si="2"/>
        <v>2</v>
      </c>
    </row>
    <row r="154" spans="1:12" x14ac:dyDescent="0.3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15</v>
      </c>
      <c r="K154">
        <v>2</v>
      </c>
      <c r="L154">
        <f t="shared" si="2"/>
        <v>2</v>
      </c>
    </row>
    <row r="155" spans="1:12" x14ac:dyDescent="0.3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15</v>
      </c>
      <c r="K155">
        <v>4</v>
      </c>
      <c r="L155">
        <f t="shared" si="2"/>
        <v>1</v>
      </c>
    </row>
    <row r="156" spans="1:12" x14ac:dyDescent="0.3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15</v>
      </c>
      <c r="K156">
        <v>1</v>
      </c>
      <c r="L156">
        <f t="shared" si="2"/>
        <v>1</v>
      </c>
    </row>
    <row r="157" spans="1:12" x14ac:dyDescent="0.3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13</v>
      </c>
      <c r="K157">
        <v>2</v>
      </c>
      <c r="L157">
        <f t="shared" si="2"/>
        <v>1</v>
      </c>
    </row>
    <row r="158" spans="1:12" x14ac:dyDescent="0.3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13</v>
      </c>
      <c r="K158">
        <v>1</v>
      </c>
      <c r="L158">
        <f t="shared" si="2"/>
        <v>2</v>
      </c>
    </row>
    <row r="159" spans="1:12" x14ac:dyDescent="0.3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13</v>
      </c>
      <c r="K159">
        <v>4</v>
      </c>
      <c r="L159">
        <f t="shared" si="2"/>
        <v>2</v>
      </c>
    </row>
    <row r="160" spans="1:12" x14ac:dyDescent="0.3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13</v>
      </c>
      <c r="K160">
        <v>4</v>
      </c>
      <c r="L160">
        <f t="shared" si="2"/>
        <v>2</v>
      </c>
    </row>
    <row r="161" spans="1:12" x14ac:dyDescent="0.3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13</v>
      </c>
      <c r="K161">
        <v>2</v>
      </c>
      <c r="L161">
        <f t="shared" si="2"/>
        <v>2</v>
      </c>
    </row>
    <row r="162" spans="1:12" x14ac:dyDescent="0.3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15</v>
      </c>
      <c r="K162">
        <v>1</v>
      </c>
      <c r="L162">
        <f t="shared" si="2"/>
        <v>2</v>
      </c>
    </row>
    <row r="163" spans="1:12" x14ac:dyDescent="0.3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13</v>
      </c>
      <c r="K163">
        <v>1</v>
      </c>
      <c r="L163">
        <f t="shared" si="2"/>
        <v>2</v>
      </c>
    </row>
    <row r="164" spans="1:12" x14ac:dyDescent="0.3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13</v>
      </c>
      <c r="K164">
        <v>4</v>
      </c>
      <c r="L164">
        <f t="shared" si="2"/>
        <v>2</v>
      </c>
    </row>
    <row r="165" spans="1:12" x14ac:dyDescent="0.3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13</v>
      </c>
      <c r="K165">
        <v>1</v>
      </c>
      <c r="L165">
        <f t="shared" si="2"/>
        <v>1</v>
      </c>
    </row>
    <row r="166" spans="1:12" x14ac:dyDescent="0.3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15</v>
      </c>
      <c r="K166">
        <v>3</v>
      </c>
      <c r="L166">
        <f t="shared" si="2"/>
        <v>2</v>
      </c>
    </row>
    <row r="167" spans="1:12" x14ac:dyDescent="0.3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15</v>
      </c>
      <c r="K167">
        <v>5</v>
      </c>
      <c r="L167">
        <f t="shared" si="2"/>
        <v>2</v>
      </c>
    </row>
    <row r="168" spans="1:12" x14ac:dyDescent="0.3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13</v>
      </c>
      <c r="K168">
        <v>5</v>
      </c>
      <c r="L168">
        <f t="shared" si="2"/>
        <v>1</v>
      </c>
    </row>
    <row r="169" spans="1:12" x14ac:dyDescent="0.3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13</v>
      </c>
      <c r="K169">
        <v>1</v>
      </c>
      <c r="L169">
        <f t="shared" si="2"/>
        <v>2</v>
      </c>
    </row>
    <row r="170" spans="1:12" x14ac:dyDescent="0.3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15</v>
      </c>
      <c r="K170">
        <v>3</v>
      </c>
      <c r="L170">
        <f t="shared" si="2"/>
        <v>2</v>
      </c>
    </row>
    <row r="171" spans="1:12" x14ac:dyDescent="0.3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13</v>
      </c>
      <c r="K171">
        <v>5</v>
      </c>
      <c r="L171">
        <f t="shared" si="2"/>
        <v>2</v>
      </c>
    </row>
    <row r="172" spans="1:12" x14ac:dyDescent="0.3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13</v>
      </c>
      <c r="K172">
        <v>2</v>
      </c>
      <c r="L172">
        <f t="shared" si="2"/>
        <v>2</v>
      </c>
    </row>
    <row r="173" spans="1:12" x14ac:dyDescent="0.3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13</v>
      </c>
      <c r="K173">
        <v>1</v>
      </c>
      <c r="L173">
        <f t="shared" si="2"/>
        <v>1</v>
      </c>
    </row>
    <row r="174" spans="1:12" x14ac:dyDescent="0.3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15</v>
      </c>
      <c r="K174">
        <v>2</v>
      </c>
      <c r="L174">
        <f t="shared" si="2"/>
        <v>2</v>
      </c>
    </row>
    <row r="175" spans="1:12" x14ac:dyDescent="0.3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15</v>
      </c>
      <c r="K175">
        <v>4</v>
      </c>
      <c r="L175">
        <f t="shared" si="2"/>
        <v>1</v>
      </c>
    </row>
    <row r="176" spans="1:12" x14ac:dyDescent="0.3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15</v>
      </c>
      <c r="K176">
        <v>1</v>
      </c>
      <c r="L176">
        <f t="shared" si="2"/>
        <v>1</v>
      </c>
    </row>
    <row r="177" spans="1:12" x14ac:dyDescent="0.3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15</v>
      </c>
      <c r="K177">
        <v>3</v>
      </c>
      <c r="L177">
        <f t="shared" si="2"/>
        <v>2</v>
      </c>
    </row>
    <row r="178" spans="1:12" x14ac:dyDescent="0.3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13</v>
      </c>
      <c r="K178">
        <v>3</v>
      </c>
      <c r="L178">
        <f t="shared" si="2"/>
        <v>1</v>
      </c>
    </row>
    <row r="179" spans="1:12" x14ac:dyDescent="0.3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15</v>
      </c>
      <c r="K179">
        <v>3</v>
      </c>
      <c r="L179">
        <f t="shared" si="2"/>
        <v>1</v>
      </c>
    </row>
    <row r="180" spans="1:12" x14ac:dyDescent="0.3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13</v>
      </c>
      <c r="K180">
        <v>3</v>
      </c>
      <c r="L180">
        <f t="shared" si="2"/>
        <v>2</v>
      </c>
    </row>
    <row r="181" spans="1:12" x14ac:dyDescent="0.3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13</v>
      </c>
      <c r="K181">
        <v>5</v>
      </c>
      <c r="L181">
        <f t="shared" si="2"/>
        <v>2</v>
      </c>
    </row>
    <row r="182" spans="1:12" x14ac:dyDescent="0.3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13</v>
      </c>
      <c r="K182">
        <v>2</v>
      </c>
      <c r="L182">
        <f t="shared" si="2"/>
        <v>1</v>
      </c>
    </row>
    <row r="183" spans="1:12" x14ac:dyDescent="0.3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13</v>
      </c>
      <c r="K183">
        <v>4</v>
      </c>
      <c r="L183">
        <f t="shared" si="2"/>
        <v>1</v>
      </c>
    </row>
    <row r="184" spans="1:12" x14ac:dyDescent="0.3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15</v>
      </c>
      <c r="K184">
        <v>5</v>
      </c>
      <c r="L184">
        <f t="shared" si="2"/>
        <v>2</v>
      </c>
    </row>
    <row r="185" spans="1:12" x14ac:dyDescent="0.3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15</v>
      </c>
      <c r="K185">
        <v>1</v>
      </c>
      <c r="L185">
        <f t="shared" si="2"/>
        <v>2</v>
      </c>
    </row>
    <row r="186" spans="1:12" x14ac:dyDescent="0.3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15</v>
      </c>
      <c r="K186">
        <v>5</v>
      </c>
      <c r="L186">
        <f t="shared" si="2"/>
        <v>1</v>
      </c>
    </row>
    <row r="187" spans="1:12" x14ac:dyDescent="0.3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13</v>
      </c>
      <c r="K187">
        <v>5</v>
      </c>
      <c r="L187">
        <f t="shared" si="2"/>
        <v>2</v>
      </c>
    </row>
    <row r="188" spans="1:12" x14ac:dyDescent="0.3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15</v>
      </c>
      <c r="K188">
        <v>4</v>
      </c>
      <c r="L188">
        <f t="shared" si="2"/>
        <v>1</v>
      </c>
    </row>
    <row r="189" spans="1:12" x14ac:dyDescent="0.3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13</v>
      </c>
      <c r="K189">
        <v>1</v>
      </c>
      <c r="L189">
        <f t="shared" si="2"/>
        <v>2</v>
      </c>
    </row>
    <row r="190" spans="1:12" x14ac:dyDescent="0.3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15</v>
      </c>
      <c r="K190">
        <v>2</v>
      </c>
      <c r="L190">
        <f t="shared" si="2"/>
        <v>1</v>
      </c>
    </row>
    <row r="191" spans="1:12" x14ac:dyDescent="0.3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15</v>
      </c>
      <c r="K191">
        <v>1</v>
      </c>
      <c r="L191">
        <f t="shared" si="2"/>
        <v>1</v>
      </c>
    </row>
    <row r="192" spans="1:12" x14ac:dyDescent="0.3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13</v>
      </c>
      <c r="K192">
        <v>2</v>
      </c>
      <c r="L192">
        <f t="shared" si="2"/>
        <v>1</v>
      </c>
    </row>
    <row r="193" spans="1:12" x14ac:dyDescent="0.3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13</v>
      </c>
      <c r="K193">
        <v>1</v>
      </c>
      <c r="L193">
        <f t="shared" si="2"/>
        <v>1</v>
      </c>
    </row>
    <row r="194" spans="1:12" x14ac:dyDescent="0.3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15</v>
      </c>
      <c r="K194">
        <v>4</v>
      </c>
      <c r="L194">
        <f t="shared" si="2"/>
        <v>2</v>
      </c>
    </row>
    <row r="195" spans="1:12" x14ac:dyDescent="0.3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13</v>
      </c>
      <c r="K195">
        <v>3</v>
      </c>
      <c r="L195">
        <f t="shared" ref="L195:L258" si="3">IF(AND(I195&gt;18,I195&lt;35),1,2)</f>
        <v>2</v>
      </c>
    </row>
    <row r="196" spans="1:12" x14ac:dyDescent="0.3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15</v>
      </c>
      <c r="K196">
        <v>4</v>
      </c>
      <c r="L196">
        <f t="shared" si="3"/>
        <v>1</v>
      </c>
    </row>
    <row r="197" spans="1:12" x14ac:dyDescent="0.3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15</v>
      </c>
      <c r="K197">
        <v>3</v>
      </c>
      <c r="L197">
        <f t="shared" si="3"/>
        <v>2</v>
      </c>
    </row>
    <row r="198" spans="1:12" x14ac:dyDescent="0.3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13</v>
      </c>
      <c r="K198">
        <v>3</v>
      </c>
      <c r="L198">
        <f t="shared" si="3"/>
        <v>2</v>
      </c>
    </row>
    <row r="199" spans="1:12" x14ac:dyDescent="0.3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15</v>
      </c>
      <c r="K199">
        <v>2</v>
      </c>
      <c r="L199">
        <f t="shared" si="3"/>
        <v>2</v>
      </c>
    </row>
    <row r="200" spans="1:12" x14ac:dyDescent="0.3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13</v>
      </c>
      <c r="K200">
        <v>1</v>
      </c>
      <c r="L200">
        <f t="shared" si="3"/>
        <v>1</v>
      </c>
    </row>
    <row r="201" spans="1:12" x14ac:dyDescent="0.3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15</v>
      </c>
      <c r="K201">
        <v>2</v>
      </c>
      <c r="L201">
        <f t="shared" si="3"/>
        <v>2</v>
      </c>
    </row>
    <row r="202" spans="1:12" x14ac:dyDescent="0.3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15</v>
      </c>
      <c r="K202">
        <v>5</v>
      </c>
      <c r="L202">
        <f t="shared" si="3"/>
        <v>1</v>
      </c>
    </row>
    <row r="203" spans="1:12" x14ac:dyDescent="0.3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15</v>
      </c>
      <c r="K203">
        <v>2</v>
      </c>
      <c r="L203">
        <f t="shared" si="3"/>
        <v>2</v>
      </c>
    </row>
    <row r="204" spans="1:12" x14ac:dyDescent="0.3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13</v>
      </c>
      <c r="K204">
        <v>1</v>
      </c>
      <c r="L204">
        <f t="shared" si="3"/>
        <v>1</v>
      </c>
    </row>
    <row r="205" spans="1:12" x14ac:dyDescent="0.3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13</v>
      </c>
      <c r="K205">
        <v>1</v>
      </c>
      <c r="L205">
        <f t="shared" si="3"/>
        <v>1</v>
      </c>
    </row>
    <row r="206" spans="1:12" x14ac:dyDescent="0.3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13</v>
      </c>
      <c r="K206">
        <v>2</v>
      </c>
      <c r="L206">
        <f t="shared" si="3"/>
        <v>1</v>
      </c>
    </row>
    <row r="207" spans="1:12" x14ac:dyDescent="0.3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13</v>
      </c>
      <c r="K207">
        <v>4</v>
      </c>
      <c r="L207">
        <f t="shared" si="3"/>
        <v>1</v>
      </c>
    </row>
    <row r="208" spans="1:12" x14ac:dyDescent="0.3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15</v>
      </c>
      <c r="K208">
        <v>1</v>
      </c>
      <c r="L208">
        <f t="shared" si="3"/>
        <v>2</v>
      </c>
    </row>
    <row r="209" spans="1:12" x14ac:dyDescent="0.3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13</v>
      </c>
      <c r="K209">
        <v>2</v>
      </c>
      <c r="L209">
        <f t="shared" si="3"/>
        <v>1</v>
      </c>
    </row>
    <row r="210" spans="1:12" x14ac:dyDescent="0.3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13</v>
      </c>
      <c r="K210">
        <v>5</v>
      </c>
      <c r="L210">
        <f t="shared" si="3"/>
        <v>2</v>
      </c>
    </row>
    <row r="211" spans="1:12" x14ac:dyDescent="0.3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15</v>
      </c>
      <c r="K211">
        <v>3</v>
      </c>
      <c r="L211">
        <f t="shared" si="3"/>
        <v>2</v>
      </c>
    </row>
    <row r="212" spans="1:12" x14ac:dyDescent="0.3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15</v>
      </c>
      <c r="K212">
        <v>4</v>
      </c>
      <c r="L212">
        <f t="shared" si="3"/>
        <v>1</v>
      </c>
    </row>
    <row r="213" spans="1:12" x14ac:dyDescent="0.3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13</v>
      </c>
      <c r="K213">
        <v>5</v>
      </c>
      <c r="L213">
        <f t="shared" si="3"/>
        <v>2</v>
      </c>
    </row>
    <row r="214" spans="1:12" x14ac:dyDescent="0.3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13</v>
      </c>
      <c r="K214">
        <v>2</v>
      </c>
      <c r="L214">
        <f t="shared" si="3"/>
        <v>1</v>
      </c>
    </row>
    <row r="215" spans="1:12" x14ac:dyDescent="0.3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13</v>
      </c>
      <c r="K215">
        <v>1</v>
      </c>
      <c r="L215">
        <f t="shared" si="3"/>
        <v>1</v>
      </c>
    </row>
    <row r="216" spans="1:12" x14ac:dyDescent="0.3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15</v>
      </c>
      <c r="K216">
        <v>2</v>
      </c>
      <c r="L216">
        <f t="shared" si="3"/>
        <v>2</v>
      </c>
    </row>
    <row r="217" spans="1:12" x14ac:dyDescent="0.3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13</v>
      </c>
      <c r="K217">
        <v>5</v>
      </c>
      <c r="L217">
        <f t="shared" si="3"/>
        <v>2</v>
      </c>
    </row>
    <row r="218" spans="1:12" x14ac:dyDescent="0.3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13</v>
      </c>
      <c r="K218">
        <v>4</v>
      </c>
      <c r="L218">
        <f t="shared" si="3"/>
        <v>2</v>
      </c>
    </row>
    <row r="219" spans="1:12" x14ac:dyDescent="0.3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13</v>
      </c>
      <c r="K219">
        <v>5</v>
      </c>
      <c r="L219">
        <f t="shared" si="3"/>
        <v>1</v>
      </c>
    </row>
    <row r="220" spans="1:12" x14ac:dyDescent="0.3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15</v>
      </c>
      <c r="K220">
        <v>5</v>
      </c>
      <c r="L220">
        <f t="shared" si="3"/>
        <v>2</v>
      </c>
    </row>
    <row r="221" spans="1:12" x14ac:dyDescent="0.3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13</v>
      </c>
      <c r="K221">
        <v>2</v>
      </c>
      <c r="L221">
        <f t="shared" si="3"/>
        <v>2</v>
      </c>
    </row>
    <row r="222" spans="1:12" x14ac:dyDescent="0.3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13</v>
      </c>
      <c r="K222">
        <v>4</v>
      </c>
      <c r="L222">
        <f t="shared" si="3"/>
        <v>1</v>
      </c>
    </row>
    <row r="223" spans="1:12" x14ac:dyDescent="0.3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13</v>
      </c>
      <c r="K223">
        <v>2</v>
      </c>
      <c r="L223">
        <f t="shared" si="3"/>
        <v>1</v>
      </c>
    </row>
    <row r="224" spans="1:12" x14ac:dyDescent="0.3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15</v>
      </c>
      <c r="K224">
        <v>4</v>
      </c>
      <c r="L224">
        <f t="shared" si="3"/>
        <v>1</v>
      </c>
    </row>
    <row r="225" spans="1:12" x14ac:dyDescent="0.3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15</v>
      </c>
      <c r="K225">
        <v>5</v>
      </c>
      <c r="L225">
        <f t="shared" si="3"/>
        <v>2</v>
      </c>
    </row>
    <row r="226" spans="1:12" x14ac:dyDescent="0.3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13</v>
      </c>
      <c r="K226">
        <v>2</v>
      </c>
      <c r="L226">
        <f t="shared" si="3"/>
        <v>1</v>
      </c>
    </row>
    <row r="227" spans="1:12" x14ac:dyDescent="0.3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15</v>
      </c>
      <c r="K227">
        <v>5</v>
      </c>
      <c r="L227">
        <f t="shared" si="3"/>
        <v>2</v>
      </c>
    </row>
    <row r="228" spans="1:12" x14ac:dyDescent="0.3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13</v>
      </c>
      <c r="K228">
        <v>4</v>
      </c>
      <c r="L228">
        <f t="shared" si="3"/>
        <v>2</v>
      </c>
    </row>
    <row r="229" spans="1:12" x14ac:dyDescent="0.3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15</v>
      </c>
      <c r="K229">
        <v>3</v>
      </c>
      <c r="L229">
        <f t="shared" si="3"/>
        <v>1</v>
      </c>
    </row>
    <row r="230" spans="1:12" x14ac:dyDescent="0.3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13</v>
      </c>
      <c r="K230">
        <v>2</v>
      </c>
      <c r="L230">
        <f t="shared" si="3"/>
        <v>2</v>
      </c>
    </row>
    <row r="231" spans="1:12" x14ac:dyDescent="0.3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13</v>
      </c>
      <c r="K231">
        <v>4</v>
      </c>
      <c r="L231">
        <f t="shared" si="3"/>
        <v>2</v>
      </c>
    </row>
    <row r="232" spans="1:12" x14ac:dyDescent="0.3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13</v>
      </c>
      <c r="K232">
        <v>2</v>
      </c>
      <c r="L232">
        <f t="shared" si="3"/>
        <v>2</v>
      </c>
    </row>
    <row r="233" spans="1:12" x14ac:dyDescent="0.3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13</v>
      </c>
      <c r="K233">
        <v>5</v>
      </c>
      <c r="L233">
        <f t="shared" si="3"/>
        <v>1</v>
      </c>
    </row>
    <row r="234" spans="1:12" x14ac:dyDescent="0.3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13</v>
      </c>
      <c r="K234">
        <v>5</v>
      </c>
      <c r="L234">
        <f t="shared" si="3"/>
        <v>2</v>
      </c>
    </row>
    <row r="235" spans="1:12" x14ac:dyDescent="0.3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15</v>
      </c>
      <c r="K235">
        <v>2</v>
      </c>
      <c r="L235">
        <f t="shared" si="3"/>
        <v>2</v>
      </c>
    </row>
    <row r="236" spans="1:12" x14ac:dyDescent="0.3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13</v>
      </c>
      <c r="K236">
        <v>2</v>
      </c>
      <c r="L236">
        <f t="shared" si="3"/>
        <v>2</v>
      </c>
    </row>
    <row r="237" spans="1:12" x14ac:dyDescent="0.3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15</v>
      </c>
      <c r="K237">
        <v>1</v>
      </c>
      <c r="L237">
        <f t="shared" si="3"/>
        <v>1</v>
      </c>
    </row>
    <row r="238" spans="1:12" x14ac:dyDescent="0.3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15</v>
      </c>
      <c r="K238">
        <v>5</v>
      </c>
      <c r="L238">
        <f t="shared" si="3"/>
        <v>1</v>
      </c>
    </row>
    <row r="239" spans="1:12" x14ac:dyDescent="0.3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15</v>
      </c>
      <c r="K239">
        <v>4</v>
      </c>
      <c r="L239">
        <f t="shared" si="3"/>
        <v>1</v>
      </c>
    </row>
    <row r="240" spans="1:12" x14ac:dyDescent="0.3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13</v>
      </c>
      <c r="K240">
        <v>1</v>
      </c>
      <c r="L240">
        <f t="shared" si="3"/>
        <v>2</v>
      </c>
    </row>
    <row r="241" spans="1:12" x14ac:dyDescent="0.3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15</v>
      </c>
      <c r="K241">
        <v>5</v>
      </c>
      <c r="L241">
        <f t="shared" si="3"/>
        <v>1</v>
      </c>
    </row>
    <row r="242" spans="1:12" x14ac:dyDescent="0.3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15</v>
      </c>
      <c r="K242">
        <v>1</v>
      </c>
      <c r="L242">
        <f t="shared" si="3"/>
        <v>2</v>
      </c>
    </row>
    <row r="243" spans="1:12" x14ac:dyDescent="0.3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15</v>
      </c>
      <c r="K243">
        <v>5</v>
      </c>
      <c r="L243">
        <f t="shared" si="3"/>
        <v>2</v>
      </c>
    </row>
    <row r="244" spans="1:12" x14ac:dyDescent="0.3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13</v>
      </c>
      <c r="K244">
        <v>2</v>
      </c>
      <c r="L244">
        <f t="shared" si="3"/>
        <v>2</v>
      </c>
    </row>
    <row r="245" spans="1:12" x14ac:dyDescent="0.3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13</v>
      </c>
      <c r="K245">
        <v>4</v>
      </c>
      <c r="L245">
        <f t="shared" si="3"/>
        <v>2</v>
      </c>
    </row>
    <row r="246" spans="1:12" x14ac:dyDescent="0.3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13</v>
      </c>
      <c r="K246">
        <v>1</v>
      </c>
      <c r="L246">
        <f t="shared" si="3"/>
        <v>2</v>
      </c>
    </row>
    <row r="247" spans="1:12" x14ac:dyDescent="0.3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13</v>
      </c>
      <c r="K247">
        <v>3</v>
      </c>
      <c r="L247">
        <f t="shared" si="3"/>
        <v>1</v>
      </c>
    </row>
    <row r="248" spans="1:12" x14ac:dyDescent="0.3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13</v>
      </c>
      <c r="K248">
        <v>1</v>
      </c>
      <c r="L248">
        <f t="shared" si="3"/>
        <v>1</v>
      </c>
    </row>
    <row r="249" spans="1:12" x14ac:dyDescent="0.3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13</v>
      </c>
      <c r="K249">
        <v>4</v>
      </c>
      <c r="L249">
        <f t="shared" si="3"/>
        <v>1</v>
      </c>
    </row>
    <row r="250" spans="1:12" x14ac:dyDescent="0.3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15</v>
      </c>
      <c r="K250">
        <v>2</v>
      </c>
      <c r="L250">
        <f t="shared" si="3"/>
        <v>2</v>
      </c>
    </row>
    <row r="251" spans="1:12" x14ac:dyDescent="0.3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15</v>
      </c>
      <c r="K251">
        <v>1</v>
      </c>
      <c r="L251">
        <f t="shared" si="3"/>
        <v>2</v>
      </c>
    </row>
    <row r="252" spans="1:12" x14ac:dyDescent="0.3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15</v>
      </c>
      <c r="K252">
        <v>1</v>
      </c>
      <c r="L252">
        <f t="shared" si="3"/>
        <v>1</v>
      </c>
    </row>
    <row r="253" spans="1:12" x14ac:dyDescent="0.3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15</v>
      </c>
      <c r="K253">
        <v>4</v>
      </c>
      <c r="L253">
        <f t="shared" si="3"/>
        <v>1</v>
      </c>
    </row>
    <row r="254" spans="1:12" x14ac:dyDescent="0.3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13</v>
      </c>
      <c r="K254">
        <v>5</v>
      </c>
      <c r="L254">
        <f t="shared" si="3"/>
        <v>1</v>
      </c>
    </row>
    <row r="255" spans="1:12" x14ac:dyDescent="0.3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15</v>
      </c>
      <c r="K255">
        <v>2</v>
      </c>
      <c r="L255">
        <f t="shared" si="3"/>
        <v>2</v>
      </c>
    </row>
    <row r="256" spans="1:12" x14ac:dyDescent="0.3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15</v>
      </c>
      <c r="K256">
        <v>1</v>
      </c>
      <c r="L256">
        <f t="shared" si="3"/>
        <v>1</v>
      </c>
    </row>
    <row r="257" spans="1:12" x14ac:dyDescent="0.3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15</v>
      </c>
      <c r="K257">
        <v>4</v>
      </c>
      <c r="L257">
        <f t="shared" si="3"/>
        <v>2</v>
      </c>
    </row>
    <row r="258" spans="1:12" x14ac:dyDescent="0.3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13</v>
      </c>
      <c r="K258">
        <v>4</v>
      </c>
      <c r="L258">
        <f t="shared" si="3"/>
        <v>2</v>
      </c>
    </row>
    <row r="259" spans="1:12" x14ac:dyDescent="0.3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15</v>
      </c>
      <c r="K259">
        <v>3</v>
      </c>
      <c r="L259">
        <f t="shared" ref="L259:L322" si="4">IF(AND(I259&gt;18,I259&lt;35),1,2)</f>
        <v>1</v>
      </c>
    </row>
    <row r="260" spans="1:12" x14ac:dyDescent="0.3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13</v>
      </c>
      <c r="K260">
        <v>3</v>
      </c>
      <c r="L260">
        <f t="shared" si="4"/>
        <v>2</v>
      </c>
    </row>
    <row r="261" spans="1:12" x14ac:dyDescent="0.3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15</v>
      </c>
      <c r="K261">
        <v>5</v>
      </c>
      <c r="L261">
        <f t="shared" si="4"/>
        <v>2</v>
      </c>
    </row>
    <row r="262" spans="1:12" x14ac:dyDescent="0.3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15</v>
      </c>
      <c r="K262">
        <v>1</v>
      </c>
      <c r="L262">
        <f t="shared" si="4"/>
        <v>2</v>
      </c>
    </row>
    <row r="263" spans="1:12" x14ac:dyDescent="0.3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15</v>
      </c>
      <c r="K263">
        <v>4</v>
      </c>
      <c r="L263">
        <f t="shared" si="4"/>
        <v>2</v>
      </c>
    </row>
    <row r="264" spans="1:12" x14ac:dyDescent="0.3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15</v>
      </c>
      <c r="K264">
        <v>5</v>
      </c>
      <c r="L264">
        <f t="shared" si="4"/>
        <v>1</v>
      </c>
    </row>
    <row r="265" spans="1:12" x14ac:dyDescent="0.3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13</v>
      </c>
      <c r="K265">
        <v>1</v>
      </c>
      <c r="L265">
        <f t="shared" si="4"/>
        <v>2</v>
      </c>
    </row>
    <row r="266" spans="1:12" x14ac:dyDescent="0.3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15</v>
      </c>
      <c r="K266">
        <v>4</v>
      </c>
      <c r="L266">
        <f t="shared" si="4"/>
        <v>2</v>
      </c>
    </row>
    <row r="267" spans="1:12" x14ac:dyDescent="0.3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13</v>
      </c>
      <c r="K267">
        <v>5</v>
      </c>
      <c r="L267">
        <f t="shared" si="4"/>
        <v>1</v>
      </c>
    </row>
    <row r="268" spans="1:12" x14ac:dyDescent="0.3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15</v>
      </c>
      <c r="K268">
        <v>3</v>
      </c>
      <c r="L268">
        <f t="shared" si="4"/>
        <v>1</v>
      </c>
    </row>
    <row r="269" spans="1:12" x14ac:dyDescent="0.3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13</v>
      </c>
      <c r="K269">
        <v>5</v>
      </c>
      <c r="L269">
        <f t="shared" si="4"/>
        <v>1</v>
      </c>
    </row>
    <row r="270" spans="1:12" x14ac:dyDescent="0.3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13</v>
      </c>
      <c r="K270">
        <v>3</v>
      </c>
      <c r="L270">
        <f t="shared" si="4"/>
        <v>2</v>
      </c>
    </row>
    <row r="271" spans="1:12" x14ac:dyDescent="0.3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13</v>
      </c>
      <c r="K271">
        <v>4</v>
      </c>
      <c r="L271">
        <f t="shared" si="4"/>
        <v>1</v>
      </c>
    </row>
    <row r="272" spans="1:12" x14ac:dyDescent="0.3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15</v>
      </c>
      <c r="K272">
        <v>4</v>
      </c>
      <c r="L272">
        <f t="shared" si="4"/>
        <v>2</v>
      </c>
    </row>
    <row r="273" spans="1:12" x14ac:dyDescent="0.3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13</v>
      </c>
      <c r="K273">
        <v>3</v>
      </c>
      <c r="L273">
        <f t="shared" si="4"/>
        <v>2</v>
      </c>
    </row>
    <row r="274" spans="1:12" x14ac:dyDescent="0.3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15</v>
      </c>
      <c r="K274">
        <v>2</v>
      </c>
      <c r="L274">
        <f t="shared" si="4"/>
        <v>1</v>
      </c>
    </row>
    <row r="275" spans="1:12" x14ac:dyDescent="0.3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13</v>
      </c>
      <c r="K275">
        <v>2</v>
      </c>
      <c r="L275">
        <f t="shared" si="4"/>
        <v>2</v>
      </c>
    </row>
    <row r="276" spans="1:12" x14ac:dyDescent="0.3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13</v>
      </c>
      <c r="K276">
        <v>2</v>
      </c>
      <c r="L276">
        <f t="shared" si="4"/>
        <v>2</v>
      </c>
    </row>
    <row r="277" spans="1:12" x14ac:dyDescent="0.3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13</v>
      </c>
      <c r="K277">
        <v>5</v>
      </c>
      <c r="L277">
        <f t="shared" si="4"/>
        <v>2</v>
      </c>
    </row>
    <row r="278" spans="1:12" x14ac:dyDescent="0.3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15</v>
      </c>
      <c r="K278">
        <v>3</v>
      </c>
      <c r="L278">
        <f t="shared" si="4"/>
        <v>1</v>
      </c>
    </row>
    <row r="279" spans="1:12" x14ac:dyDescent="0.3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13</v>
      </c>
      <c r="K279">
        <v>3</v>
      </c>
      <c r="L279">
        <f t="shared" si="4"/>
        <v>2</v>
      </c>
    </row>
    <row r="280" spans="1:12" x14ac:dyDescent="0.3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13</v>
      </c>
      <c r="K280">
        <v>1</v>
      </c>
      <c r="L280">
        <f t="shared" si="4"/>
        <v>2</v>
      </c>
    </row>
    <row r="281" spans="1:12" x14ac:dyDescent="0.3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15</v>
      </c>
      <c r="K281">
        <v>4</v>
      </c>
      <c r="L281">
        <f t="shared" si="4"/>
        <v>1</v>
      </c>
    </row>
    <row r="282" spans="1:12" x14ac:dyDescent="0.3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13</v>
      </c>
      <c r="K282">
        <v>1</v>
      </c>
      <c r="L282">
        <f t="shared" si="4"/>
        <v>2</v>
      </c>
    </row>
    <row r="283" spans="1:12" x14ac:dyDescent="0.3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15</v>
      </c>
      <c r="K283">
        <v>1</v>
      </c>
      <c r="L283">
        <f t="shared" si="4"/>
        <v>1</v>
      </c>
    </row>
    <row r="284" spans="1:12" x14ac:dyDescent="0.3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13</v>
      </c>
      <c r="K284">
        <v>4</v>
      </c>
      <c r="L284">
        <f t="shared" si="4"/>
        <v>2</v>
      </c>
    </row>
    <row r="285" spans="1:12" x14ac:dyDescent="0.3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15</v>
      </c>
      <c r="K285">
        <v>1</v>
      </c>
      <c r="L285">
        <f t="shared" si="4"/>
        <v>2</v>
      </c>
    </row>
    <row r="286" spans="1:12" x14ac:dyDescent="0.3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13</v>
      </c>
      <c r="K286">
        <v>4</v>
      </c>
      <c r="L286">
        <f t="shared" si="4"/>
        <v>2</v>
      </c>
    </row>
    <row r="287" spans="1:12" x14ac:dyDescent="0.3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13</v>
      </c>
      <c r="K287">
        <v>5</v>
      </c>
      <c r="L287">
        <f t="shared" si="4"/>
        <v>2</v>
      </c>
    </row>
    <row r="288" spans="1:12" x14ac:dyDescent="0.3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15</v>
      </c>
      <c r="K288">
        <v>4</v>
      </c>
      <c r="L288">
        <f t="shared" si="4"/>
        <v>2</v>
      </c>
    </row>
    <row r="289" spans="1:12" x14ac:dyDescent="0.3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15</v>
      </c>
      <c r="K289">
        <v>3</v>
      </c>
      <c r="L289">
        <f t="shared" si="4"/>
        <v>1</v>
      </c>
    </row>
    <row r="290" spans="1:12" x14ac:dyDescent="0.3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13</v>
      </c>
      <c r="K290">
        <v>2</v>
      </c>
      <c r="L290">
        <f t="shared" si="4"/>
        <v>2</v>
      </c>
    </row>
    <row r="291" spans="1:12" x14ac:dyDescent="0.3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13</v>
      </c>
      <c r="K291">
        <v>1</v>
      </c>
      <c r="L291">
        <f t="shared" si="4"/>
        <v>2</v>
      </c>
    </row>
    <row r="292" spans="1:12" x14ac:dyDescent="0.3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13</v>
      </c>
      <c r="K292">
        <v>4</v>
      </c>
      <c r="L292">
        <f t="shared" si="4"/>
        <v>1</v>
      </c>
    </row>
    <row r="293" spans="1:12" x14ac:dyDescent="0.3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13</v>
      </c>
      <c r="K293">
        <v>1</v>
      </c>
      <c r="L293">
        <f t="shared" si="4"/>
        <v>1</v>
      </c>
    </row>
    <row r="294" spans="1:12" x14ac:dyDescent="0.3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15</v>
      </c>
      <c r="K294">
        <v>1</v>
      </c>
      <c r="L294">
        <f t="shared" si="4"/>
        <v>2</v>
      </c>
    </row>
    <row r="295" spans="1:12" x14ac:dyDescent="0.3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15</v>
      </c>
      <c r="K295">
        <v>3</v>
      </c>
      <c r="L295">
        <f t="shared" si="4"/>
        <v>1</v>
      </c>
    </row>
    <row r="296" spans="1:12" x14ac:dyDescent="0.3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13</v>
      </c>
      <c r="K296">
        <v>5</v>
      </c>
      <c r="L296">
        <f t="shared" si="4"/>
        <v>2</v>
      </c>
    </row>
    <row r="297" spans="1:12" x14ac:dyDescent="0.3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13</v>
      </c>
      <c r="K297">
        <v>1</v>
      </c>
      <c r="L297">
        <f t="shared" si="4"/>
        <v>2</v>
      </c>
    </row>
    <row r="298" spans="1:12" x14ac:dyDescent="0.3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15</v>
      </c>
      <c r="K298">
        <v>4</v>
      </c>
      <c r="L298">
        <f t="shared" si="4"/>
        <v>1</v>
      </c>
    </row>
    <row r="299" spans="1:12" x14ac:dyDescent="0.3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15</v>
      </c>
      <c r="K299">
        <v>2</v>
      </c>
      <c r="L299">
        <f t="shared" si="4"/>
        <v>2</v>
      </c>
    </row>
    <row r="300" spans="1:12" x14ac:dyDescent="0.3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13</v>
      </c>
      <c r="K300">
        <v>3</v>
      </c>
      <c r="L300">
        <f t="shared" si="4"/>
        <v>2</v>
      </c>
    </row>
    <row r="301" spans="1:12" x14ac:dyDescent="0.3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15</v>
      </c>
      <c r="K301">
        <v>2</v>
      </c>
      <c r="L301">
        <f t="shared" si="4"/>
        <v>2</v>
      </c>
    </row>
    <row r="302" spans="1:12" x14ac:dyDescent="0.3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13</v>
      </c>
      <c r="K302">
        <v>4</v>
      </c>
      <c r="L302">
        <f t="shared" si="4"/>
        <v>2</v>
      </c>
    </row>
    <row r="303" spans="1:12" x14ac:dyDescent="0.3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15</v>
      </c>
      <c r="K303">
        <v>3</v>
      </c>
      <c r="L303">
        <f t="shared" si="4"/>
        <v>2</v>
      </c>
    </row>
    <row r="304" spans="1:12" x14ac:dyDescent="0.3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15</v>
      </c>
      <c r="K304">
        <v>4</v>
      </c>
      <c r="L304">
        <f t="shared" si="4"/>
        <v>1</v>
      </c>
    </row>
    <row r="305" spans="1:12" x14ac:dyDescent="0.3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15</v>
      </c>
      <c r="K305">
        <v>5</v>
      </c>
      <c r="L305">
        <f t="shared" si="4"/>
        <v>1</v>
      </c>
    </row>
    <row r="306" spans="1:12" x14ac:dyDescent="0.3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15</v>
      </c>
      <c r="K306">
        <v>2</v>
      </c>
      <c r="L306">
        <f t="shared" si="4"/>
        <v>1</v>
      </c>
    </row>
    <row r="307" spans="1:12" x14ac:dyDescent="0.3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13</v>
      </c>
      <c r="K307">
        <v>2</v>
      </c>
      <c r="L307">
        <f t="shared" si="4"/>
        <v>1</v>
      </c>
    </row>
    <row r="308" spans="1:12" x14ac:dyDescent="0.3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13</v>
      </c>
      <c r="K308">
        <v>3</v>
      </c>
      <c r="L308">
        <f t="shared" si="4"/>
        <v>2</v>
      </c>
    </row>
    <row r="309" spans="1:12" x14ac:dyDescent="0.3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15</v>
      </c>
      <c r="K309">
        <v>4</v>
      </c>
      <c r="L309">
        <f t="shared" si="4"/>
        <v>2</v>
      </c>
    </row>
    <row r="310" spans="1:12" x14ac:dyDescent="0.3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15</v>
      </c>
      <c r="K310">
        <v>3</v>
      </c>
      <c r="L310">
        <f t="shared" si="4"/>
        <v>1</v>
      </c>
    </row>
    <row r="311" spans="1:12" x14ac:dyDescent="0.3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13</v>
      </c>
      <c r="K311">
        <v>4</v>
      </c>
      <c r="L311">
        <f t="shared" si="4"/>
        <v>2</v>
      </c>
    </row>
    <row r="312" spans="1:12" x14ac:dyDescent="0.3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15</v>
      </c>
      <c r="K312">
        <v>3</v>
      </c>
      <c r="L312">
        <f t="shared" si="4"/>
        <v>1</v>
      </c>
    </row>
    <row r="313" spans="1:12" x14ac:dyDescent="0.3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15</v>
      </c>
      <c r="K313">
        <v>4</v>
      </c>
      <c r="L313">
        <f t="shared" si="4"/>
        <v>1</v>
      </c>
    </row>
    <row r="314" spans="1:12" x14ac:dyDescent="0.3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13</v>
      </c>
      <c r="K314">
        <v>2</v>
      </c>
      <c r="L314">
        <f t="shared" si="4"/>
        <v>1</v>
      </c>
    </row>
    <row r="315" spans="1:12" x14ac:dyDescent="0.3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15</v>
      </c>
      <c r="K315">
        <v>2</v>
      </c>
      <c r="L315">
        <f t="shared" si="4"/>
        <v>2</v>
      </c>
    </row>
    <row r="316" spans="1:12" x14ac:dyDescent="0.3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13</v>
      </c>
      <c r="K316">
        <v>3</v>
      </c>
      <c r="L316">
        <f t="shared" si="4"/>
        <v>1</v>
      </c>
    </row>
    <row r="317" spans="1:12" x14ac:dyDescent="0.3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15</v>
      </c>
      <c r="K317">
        <v>1</v>
      </c>
      <c r="L317">
        <f t="shared" si="4"/>
        <v>2</v>
      </c>
    </row>
    <row r="318" spans="1:12" x14ac:dyDescent="0.3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15</v>
      </c>
      <c r="K318">
        <v>3</v>
      </c>
      <c r="L318">
        <f t="shared" si="4"/>
        <v>2</v>
      </c>
    </row>
    <row r="319" spans="1:12" x14ac:dyDescent="0.3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15</v>
      </c>
      <c r="K319">
        <v>2</v>
      </c>
      <c r="L319">
        <f t="shared" si="4"/>
        <v>1</v>
      </c>
    </row>
    <row r="320" spans="1:12" x14ac:dyDescent="0.3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15</v>
      </c>
      <c r="K320">
        <v>4</v>
      </c>
      <c r="L320">
        <f t="shared" si="4"/>
        <v>2</v>
      </c>
    </row>
    <row r="321" spans="1:12" x14ac:dyDescent="0.3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13</v>
      </c>
      <c r="K321">
        <v>5</v>
      </c>
      <c r="L321">
        <f t="shared" si="4"/>
        <v>2</v>
      </c>
    </row>
    <row r="322" spans="1:12" x14ac:dyDescent="0.3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15</v>
      </c>
      <c r="K322">
        <v>3</v>
      </c>
      <c r="L322">
        <f t="shared" si="4"/>
        <v>1</v>
      </c>
    </row>
    <row r="323" spans="1:12" x14ac:dyDescent="0.3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15</v>
      </c>
      <c r="K323">
        <v>3</v>
      </c>
      <c r="L323">
        <f t="shared" ref="L323:L386" si="5">IF(AND(I323&gt;18,I323&lt;35),1,2)</f>
        <v>2</v>
      </c>
    </row>
    <row r="324" spans="1:12" x14ac:dyDescent="0.3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15</v>
      </c>
      <c r="K324">
        <v>4</v>
      </c>
      <c r="L324">
        <f t="shared" si="5"/>
        <v>1</v>
      </c>
    </row>
    <row r="325" spans="1:12" x14ac:dyDescent="0.3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15</v>
      </c>
      <c r="K325">
        <v>1</v>
      </c>
      <c r="L325">
        <f t="shared" si="5"/>
        <v>1</v>
      </c>
    </row>
    <row r="326" spans="1:12" x14ac:dyDescent="0.3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13</v>
      </c>
      <c r="K326">
        <v>4</v>
      </c>
      <c r="L326">
        <f t="shared" si="5"/>
        <v>1</v>
      </c>
    </row>
    <row r="327" spans="1:12" x14ac:dyDescent="0.3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15</v>
      </c>
      <c r="K327">
        <v>3</v>
      </c>
      <c r="L327">
        <f t="shared" si="5"/>
        <v>1</v>
      </c>
    </row>
    <row r="328" spans="1:12" x14ac:dyDescent="0.3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13</v>
      </c>
      <c r="K328">
        <v>3</v>
      </c>
      <c r="L328">
        <f t="shared" si="5"/>
        <v>2</v>
      </c>
    </row>
    <row r="329" spans="1:12" x14ac:dyDescent="0.3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15</v>
      </c>
      <c r="K329">
        <v>1</v>
      </c>
      <c r="L329">
        <f t="shared" si="5"/>
        <v>1</v>
      </c>
    </row>
    <row r="330" spans="1:12" x14ac:dyDescent="0.3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15</v>
      </c>
      <c r="K330">
        <v>1</v>
      </c>
      <c r="L330">
        <f t="shared" si="5"/>
        <v>1</v>
      </c>
    </row>
    <row r="331" spans="1:12" x14ac:dyDescent="0.3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15</v>
      </c>
      <c r="K331">
        <v>5</v>
      </c>
      <c r="L331">
        <f t="shared" si="5"/>
        <v>2</v>
      </c>
    </row>
    <row r="332" spans="1:12" x14ac:dyDescent="0.3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15</v>
      </c>
      <c r="K332">
        <v>3</v>
      </c>
      <c r="L332">
        <f t="shared" si="5"/>
        <v>1</v>
      </c>
    </row>
    <row r="333" spans="1:12" x14ac:dyDescent="0.3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15</v>
      </c>
      <c r="K333">
        <v>2</v>
      </c>
      <c r="L333">
        <f t="shared" si="5"/>
        <v>2</v>
      </c>
    </row>
    <row r="334" spans="1:12" x14ac:dyDescent="0.3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13</v>
      </c>
      <c r="K334">
        <v>3</v>
      </c>
      <c r="L334">
        <f t="shared" si="5"/>
        <v>2</v>
      </c>
    </row>
    <row r="335" spans="1:12" x14ac:dyDescent="0.3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15</v>
      </c>
      <c r="K335">
        <v>4</v>
      </c>
      <c r="L335">
        <f t="shared" si="5"/>
        <v>1</v>
      </c>
    </row>
    <row r="336" spans="1:12" x14ac:dyDescent="0.3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15</v>
      </c>
      <c r="K336">
        <v>1</v>
      </c>
      <c r="L336">
        <f t="shared" si="5"/>
        <v>2</v>
      </c>
    </row>
    <row r="337" spans="1:12" x14ac:dyDescent="0.3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15</v>
      </c>
      <c r="K337">
        <v>5</v>
      </c>
      <c r="L337">
        <f t="shared" si="5"/>
        <v>2</v>
      </c>
    </row>
    <row r="338" spans="1:12" x14ac:dyDescent="0.3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13</v>
      </c>
      <c r="K338">
        <v>4</v>
      </c>
      <c r="L338">
        <f t="shared" si="5"/>
        <v>2</v>
      </c>
    </row>
    <row r="339" spans="1:12" x14ac:dyDescent="0.3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13</v>
      </c>
      <c r="K339">
        <v>1</v>
      </c>
      <c r="L339">
        <f t="shared" si="5"/>
        <v>1</v>
      </c>
    </row>
    <row r="340" spans="1:12" x14ac:dyDescent="0.3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13</v>
      </c>
      <c r="K340">
        <v>4</v>
      </c>
      <c r="L340">
        <f t="shared" si="5"/>
        <v>2</v>
      </c>
    </row>
    <row r="341" spans="1:12" x14ac:dyDescent="0.3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13</v>
      </c>
      <c r="K341">
        <v>1</v>
      </c>
      <c r="L341">
        <f t="shared" si="5"/>
        <v>1</v>
      </c>
    </row>
    <row r="342" spans="1:12" x14ac:dyDescent="0.3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13</v>
      </c>
      <c r="K342">
        <v>1</v>
      </c>
      <c r="L342">
        <f t="shared" si="5"/>
        <v>2</v>
      </c>
    </row>
    <row r="343" spans="1:12" x14ac:dyDescent="0.3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15</v>
      </c>
      <c r="K343">
        <v>5</v>
      </c>
      <c r="L343">
        <f t="shared" si="5"/>
        <v>1</v>
      </c>
    </row>
    <row r="344" spans="1:12" x14ac:dyDescent="0.3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13</v>
      </c>
      <c r="K344">
        <v>5</v>
      </c>
      <c r="L344">
        <f t="shared" si="5"/>
        <v>2</v>
      </c>
    </row>
    <row r="345" spans="1:12" x14ac:dyDescent="0.3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15</v>
      </c>
      <c r="K345">
        <v>3</v>
      </c>
      <c r="L345">
        <f t="shared" si="5"/>
        <v>2</v>
      </c>
    </row>
    <row r="346" spans="1:12" x14ac:dyDescent="0.3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13</v>
      </c>
      <c r="K346">
        <v>3</v>
      </c>
      <c r="L346">
        <f t="shared" si="5"/>
        <v>2</v>
      </c>
    </row>
    <row r="347" spans="1:12" x14ac:dyDescent="0.3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15</v>
      </c>
      <c r="K347">
        <v>4</v>
      </c>
      <c r="L347">
        <f t="shared" si="5"/>
        <v>2</v>
      </c>
    </row>
    <row r="348" spans="1:12" x14ac:dyDescent="0.3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15</v>
      </c>
      <c r="K348">
        <v>2</v>
      </c>
      <c r="L348">
        <f t="shared" si="5"/>
        <v>2</v>
      </c>
    </row>
    <row r="349" spans="1:12" x14ac:dyDescent="0.3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13</v>
      </c>
      <c r="K349">
        <v>1</v>
      </c>
      <c r="L349">
        <f t="shared" si="5"/>
        <v>2</v>
      </c>
    </row>
    <row r="350" spans="1:12" x14ac:dyDescent="0.3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13</v>
      </c>
      <c r="K350">
        <v>2</v>
      </c>
      <c r="L350">
        <f t="shared" si="5"/>
        <v>1</v>
      </c>
    </row>
    <row r="351" spans="1:12" x14ac:dyDescent="0.3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13</v>
      </c>
      <c r="K351">
        <v>4</v>
      </c>
      <c r="L351">
        <f t="shared" si="5"/>
        <v>1</v>
      </c>
    </row>
    <row r="352" spans="1:12" x14ac:dyDescent="0.3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13</v>
      </c>
      <c r="K352">
        <v>4</v>
      </c>
      <c r="L352">
        <f t="shared" si="5"/>
        <v>2</v>
      </c>
    </row>
    <row r="353" spans="1:12" x14ac:dyDescent="0.3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15</v>
      </c>
      <c r="K353">
        <v>1</v>
      </c>
      <c r="L353">
        <f t="shared" si="5"/>
        <v>2</v>
      </c>
    </row>
    <row r="354" spans="1:12" x14ac:dyDescent="0.3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15</v>
      </c>
      <c r="K354">
        <v>3</v>
      </c>
      <c r="L354">
        <f t="shared" si="5"/>
        <v>1</v>
      </c>
    </row>
    <row r="355" spans="1:12" x14ac:dyDescent="0.3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15</v>
      </c>
      <c r="K355">
        <v>4</v>
      </c>
      <c r="L355">
        <f t="shared" si="5"/>
        <v>2</v>
      </c>
    </row>
    <row r="356" spans="1:12" x14ac:dyDescent="0.3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15</v>
      </c>
      <c r="K356">
        <v>1</v>
      </c>
      <c r="L356">
        <f t="shared" si="5"/>
        <v>2</v>
      </c>
    </row>
    <row r="357" spans="1:12" x14ac:dyDescent="0.3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13</v>
      </c>
      <c r="K357">
        <v>1</v>
      </c>
      <c r="L357">
        <f t="shared" si="5"/>
        <v>2</v>
      </c>
    </row>
    <row r="358" spans="1:12" x14ac:dyDescent="0.3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15</v>
      </c>
      <c r="K358">
        <v>3</v>
      </c>
      <c r="L358">
        <f t="shared" si="5"/>
        <v>2</v>
      </c>
    </row>
    <row r="359" spans="1:12" x14ac:dyDescent="0.3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15</v>
      </c>
      <c r="K359">
        <v>5</v>
      </c>
      <c r="L359">
        <f t="shared" si="5"/>
        <v>2</v>
      </c>
    </row>
    <row r="360" spans="1:12" x14ac:dyDescent="0.3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15</v>
      </c>
      <c r="K360">
        <v>1</v>
      </c>
      <c r="L360">
        <f t="shared" si="5"/>
        <v>2</v>
      </c>
    </row>
    <row r="361" spans="1:12" x14ac:dyDescent="0.3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15</v>
      </c>
      <c r="K361">
        <v>3</v>
      </c>
      <c r="L361">
        <f t="shared" si="5"/>
        <v>2</v>
      </c>
    </row>
    <row r="362" spans="1:12" x14ac:dyDescent="0.3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13</v>
      </c>
      <c r="K362">
        <v>5</v>
      </c>
      <c r="L362">
        <f t="shared" si="5"/>
        <v>1</v>
      </c>
    </row>
    <row r="363" spans="1:12" x14ac:dyDescent="0.3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13</v>
      </c>
      <c r="K363">
        <v>5</v>
      </c>
      <c r="L363">
        <f t="shared" si="5"/>
        <v>1</v>
      </c>
    </row>
    <row r="364" spans="1:12" x14ac:dyDescent="0.3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15</v>
      </c>
      <c r="K364">
        <v>1</v>
      </c>
      <c r="L364">
        <f t="shared" si="5"/>
        <v>2</v>
      </c>
    </row>
    <row r="365" spans="1:12" x14ac:dyDescent="0.3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13</v>
      </c>
      <c r="K365">
        <v>4</v>
      </c>
      <c r="L365">
        <f t="shared" si="5"/>
        <v>2</v>
      </c>
    </row>
    <row r="366" spans="1:12" x14ac:dyDescent="0.3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13</v>
      </c>
      <c r="K366">
        <v>5</v>
      </c>
      <c r="L366">
        <f t="shared" si="5"/>
        <v>1</v>
      </c>
    </row>
    <row r="367" spans="1:12" x14ac:dyDescent="0.3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13</v>
      </c>
      <c r="K367">
        <v>4</v>
      </c>
      <c r="L367">
        <f t="shared" si="5"/>
        <v>1</v>
      </c>
    </row>
    <row r="368" spans="1:12" x14ac:dyDescent="0.3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15</v>
      </c>
      <c r="K368">
        <v>5</v>
      </c>
      <c r="L368">
        <f t="shared" si="5"/>
        <v>1</v>
      </c>
    </row>
    <row r="369" spans="1:12" x14ac:dyDescent="0.3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15</v>
      </c>
      <c r="K369">
        <v>5</v>
      </c>
      <c r="L369">
        <f t="shared" si="5"/>
        <v>2</v>
      </c>
    </row>
    <row r="370" spans="1:12" x14ac:dyDescent="0.3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15</v>
      </c>
      <c r="K370">
        <v>2</v>
      </c>
      <c r="L370">
        <f t="shared" si="5"/>
        <v>2</v>
      </c>
    </row>
    <row r="371" spans="1:12" x14ac:dyDescent="0.3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13</v>
      </c>
      <c r="K371">
        <v>2</v>
      </c>
      <c r="L371">
        <f t="shared" si="5"/>
        <v>1</v>
      </c>
    </row>
    <row r="372" spans="1:12" x14ac:dyDescent="0.3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15</v>
      </c>
      <c r="K372">
        <v>5</v>
      </c>
      <c r="L372">
        <f t="shared" si="5"/>
        <v>1</v>
      </c>
    </row>
    <row r="373" spans="1:12" x14ac:dyDescent="0.3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13</v>
      </c>
      <c r="K373">
        <v>5</v>
      </c>
      <c r="L373">
        <f t="shared" si="5"/>
        <v>1</v>
      </c>
    </row>
    <row r="374" spans="1:12" x14ac:dyDescent="0.3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15</v>
      </c>
      <c r="K374">
        <v>5</v>
      </c>
      <c r="L374">
        <f t="shared" si="5"/>
        <v>2</v>
      </c>
    </row>
    <row r="375" spans="1:12" x14ac:dyDescent="0.3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15</v>
      </c>
      <c r="K375">
        <v>5</v>
      </c>
      <c r="L375">
        <f t="shared" si="5"/>
        <v>1</v>
      </c>
    </row>
    <row r="376" spans="1:12" x14ac:dyDescent="0.3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13</v>
      </c>
      <c r="K376">
        <v>1</v>
      </c>
      <c r="L376">
        <f t="shared" si="5"/>
        <v>2</v>
      </c>
    </row>
    <row r="377" spans="1:12" x14ac:dyDescent="0.3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13</v>
      </c>
      <c r="K377">
        <v>1</v>
      </c>
      <c r="L377">
        <f t="shared" si="5"/>
        <v>1</v>
      </c>
    </row>
    <row r="378" spans="1:12" x14ac:dyDescent="0.3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15</v>
      </c>
      <c r="K378">
        <v>1</v>
      </c>
      <c r="L378">
        <f t="shared" si="5"/>
        <v>2</v>
      </c>
    </row>
    <row r="379" spans="1:12" x14ac:dyDescent="0.3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15</v>
      </c>
      <c r="K379">
        <v>4</v>
      </c>
      <c r="L379">
        <f t="shared" si="5"/>
        <v>1</v>
      </c>
    </row>
    <row r="380" spans="1:12" x14ac:dyDescent="0.3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13</v>
      </c>
      <c r="K380">
        <v>5</v>
      </c>
      <c r="L380">
        <f t="shared" si="5"/>
        <v>2</v>
      </c>
    </row>
    <row r="381" spans="1:12" x14ac:dyDescent="0.3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13</v>
      </c>
      <c r="K381">
        <v>2</v>
      </c>
      <c r="L381">
        <f t="shared" si="5"/>
        <v>2</v>
      </c>
    </row>
    <row r="382" spans="1:12" x14ac:dyDescent="0.3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13</v>
      </c>
      <c r="K382">
        <v>3</v>
      </c>
      <c r="L382">
        <f t="shared" si="5"/>
        <v>1</v>
      </c>
    </row>
    <row r="383" spans="1:12" x14ac:dyDescent="0.3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13</v>
      </c>
      <c r="K383">
        <v>5</v>
      </c>
      <c r="L383">
        <f t="shared" si="5"/>
        <v>2</v>
      </c>
    </row>
    <row r="384" spans="1:12" x14ac:dyDescent="0.3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15</v>
      </c>
      <c r="K384">
        <v>1</v>
      </c>
      <c r="L384">
        <f t="shared" si="5"/>
        <v>2</v>
      </c>
    </row>
    <row r="385" spans="1:12" x14ac:dyDescent="0.3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13</v>
      </c>
      <c r="K385">
        <v>2</v>
      </c>
      <c r="L385">
        <f t="shared" si="5"/>
        <v>1</v>
      </c>
    </row>
    <row r="386" spans="1:12" x14ac:dyDescent="0.3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13</v>
      </c>
      <c r="K386">
        <v>2</v>
      </c>
      <c r="L386">
        <f t="shared" si="5"/>
        <v>1</v>
      </c>
    </row>
    <row r="387" spans="1:12" x14ac:dyDescent="0.3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15</v>
      </c>
      <c r="K387">
        <v>4</v>
      </c>
      <c r="L387">
        <f t="shared" ref="L387:L450" si="6">IF(AND(I387&gt;18,I387&lt;35),1,2)</f>
        <v>2</v>
      </c>
    </row>
    <row r="388" spans="1:12" x14ac:dyDescent="0.3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13</v>
      </c>
      <c r="K388">
        <v>2</v>
      </c>
      <c r="L388">
        <f t="shared" si="6"/>
        <v>1</v>
      </c>
    </row>
    <row r="389" spans="1:12" x14ac:dyDescent="0.3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13</v>
      </c>
      <c r="K389">
        <v>1</v>
      </c>
      <c r="L389">
        <f t="shared" si="6"/>
        <v>1</v>
      </c>
    </row>
    <row r="390" spans="1:12" x14ac:dyDescent="0.3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15</v>
      </c>
      <c r="K390">
        <v>5</v>
      </c>
      <c r="L390">
        <f t="shared" si="6"/>
        <v>1</v>
      </c>
    </row>
    <row r="391" spans="1:12" x14ac:dyDescent="0.3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15</v>
      </c>
      <c r="K391">
        <v>2</v>
      </c>
      <c r="L391">
        <f t="shared" si="6"/>
        <v>2</v>
      </c>
    </row>
    <row r="392" spans="1:12" x14ac:dyDescent="0.3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13</v>
      </c>
      <c r="K392">
        <v>4</v>
      </c>
      <c r="L392">
        <f t="shared" si="6"/>
        <v>2</v>
      </c>
    </row>
    <row r="393" spans="1:12" x14ac:dyDescent="0.3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13</v>
      </c>
      <c r="K393">
        <v>4</v>
      </c>
      <c r="L393">
        <f t="shared" si="6"/>
        <v>2</v>
      </c>
    </row>
    <row r="394" spans="1:12" x14ac:dyDescent="0.3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13</v>
      </c>
      <c r="K394">
        <v>2</v>
      </c>
      <c r="L394">
        <f t="shared" si="6"/>
        <v>2</v>
      </c>
    </row>
    <row r="395" spans="1:12" x14ac:dyDescent="0.3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13</v>
      </c>
      <c r="K395">
        <v>4</v>
      </c>
      <c r="L395">
        <f t="shared" si="6"/>
        <v>2</v>
      </c>
    </row>
    <row r="396" spans="1:12" x14ac:dyDescent="0.3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15</v>
      </c>
      <c r="K396">
        <v>5</v>
      </c>
      <c r="L396">
        <f t="shared" si="6"/>
        <v>2</v>
      </c>
    </row>
    <row r="397" spans="1:12" x14ac:dyDescent="0.3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13</v>
      </c>
      <c r="K397">
        <v>4</v>
      </c>
      <c r="L397">
        <f t="shared" si="6"/>
        <v>2</v>
      </c>
    </row>
    <row r="398" spans="1:12" x14ac:dyDescent="0.3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15</v>
      </c>
      <c r="K398">
        <v>1</v>
      </c>
      <c r="L398">
        <f t="shared" si="6"/>
        <v>1</v>
      </c>
    </row>
    <row r="399" spans="1:12" x14ac:dyDescent="0.3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13</v>
      </c>
      <c r="K399">
        <v>5</v>
      </c>
      <c r="L399">
        <f t="shared" si="6"/>
        <v>1</v>
      </c>
    </row>
    <row r="400" spans="1:12" x14ac:dyDescent="0.3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15</v>
      </c>
      <c r="K400">
        <v>1</v>
      </c>
      <c r="L400">
        <f t="shared" si="6"/>
        <v>2</v>
      </c>
    </row>
    <row r="401" spans="1:12" x14ac:dyDescent="0.3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13</v>
      </c>
      <c r="K401">
        <v>1</v>
      </c>
      <c r="L401">
        <f t="shared" si="6"/>
        <v>1</v>
      </c>
    </row>
    <row r="402" spans="1:12" x14ac:dyDescent="0.3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13</v>
      </c>
      <c r="K402">
        <v>5</v>
      </c>
      <c r="L402">
        <f t="shared" si="6"/>
        <v>2</v>
      </c>
    </row>
    <row r="403" spans="1:12" x14ac:dyDescent="0.3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13</v>
      </c>
      <c r="K403">
        <v>2</v>
      </c>
      <c r="L403">
        <f t="shared" si="6"/>
        <v>2</v>
      </c>
    </row>
    <row r="404" spans="1:12" x14ac:dyDescent="0.3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13</v>
      </c>
      <c r="K404">
        <v>4</v>
      </c>
      <c r="L404">
        <f t="shared" si="6"/>
        <v>2</v>
      </c>
    </row>
    <row r="405" spans="1:12" x14ac:dyDescent="0.3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15</v>
      </c>
      <c r="K405">
        <v>5</v>
      </c>
      <c r="L405">
        <f t="shared" si="6"/>
        <v>2</v>
      </c>
    </row>
    <row r="406" spans="1:12" x14ac:dyDescent="0.3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15</v>
      </c>
      <c r="K406">
        <v>5</v>
      </c>
      <c r="L406">
        <f t="shared" si="6"/>
        <v>1</v>
      </c>
    </row>
    <row r="407" spans="1:12" x14ac:dyDescent="0.3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15</v>
      </c>
      <c r="K407">
        <v>4</v>
      </c>
      <c r="L407">
        <f t="shared" si="6"/>
        <v>2</v>
      </c>
    </row>
    <row r="408" spans="1:12" x14ac:dyDescent="0.3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15</v>
      </c>
      <c r="K408">
        <v>2</v>
      </c>
      <c r="L408">
        <f t="shared" si="6"/>
        <v>1</v>
      </c>
    </row>
    <row r="409" spans="1:12" x14ac:dyDescent="0.3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15</v>
      </c>
      <c r="K409">
        <v>4</v>
      </c>
      <c r="L409">
        <f t="shared" si="6"/>
        <v>2</v>
      </c>
    </row>
    <row r="410" spans="1:12" x14ac:dyDescent="0.3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15</v>
      </c>
      <c r="K410">
        <v>4</v>
      </c>
      <c r="L410">
        <f t="shared" si="6"/>
        <v>1</v>
      </c>
    </row>
    <row r="411" spans="1:12" x14ac:dyDescent="0.3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13</v>
      </c>
      <c r="K411">
        <v>4</v>
      </c>
      <c r="L411">
        <f t="shared" si="6"/>
        <v>2</v>
      </c>
    </row>
    <row r="412" spans="1:12" x14ac:dyDescent="0.3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15</v>
      </c>
      <c r="K412">
        <v>5</v>
      </c>
      <c r="L412">
        <f t="shared" si="6"/>
        <v>1</v>
      </c>
    </row>
    <row r="413" spans="1:12" x14ac:dyDescent="0.3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13</v>
      </c>
      <c r="K413">
        <v>5</v>
      </c>
      <c r="L413">
        <f t="shared" si="6"/>
        <v>2</v>
      </c>
    </row>
    <row r="414" spans="1:12" x14ac:dyDescent="0.3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15</v>
      </c>
      <c r="K414">
        <v>3</v>
      </c>
      <c r="L414">
        <f t="shared" si="6"/>
        <v>2</v>
      </c>
    </row>
    <row r="415" spans="1:12" x14ac:dyDescent="0.3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13</v>
      </c>
      <c r="K415">
        <v>3</v>
      </c>
      <c r="L415">
        <f t="shared" si="6"/>
        <v>2</v>
      </c>
    </row>
    <row r="416" spans="1:12" x14ac:dyDescent="0.3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15</v>
      </c>
      <c r="K416">
        <v>2</v>
      </c>
      <c r="L416">
        <f t="shared" si="6"/>
        <v>1</v>
      </c>
    </row>
    <row r="417" spans="1:12" x14ac:dyDescent="0.3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13</v>
      </c>
      <c r="K417">
        <v>2</v>
      </c>
      <c r="L417">
        <f t="shared" si="6"/>
        <v>2</v>
      </c>
    </row>
    <row r="418" spans="1:12" x14ac:dyDescent="0.3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15</v>
      </c>
      <c r="K418">
        <v>3</v>
      </c>
      <c r="L418">
        <f t="shared" si="6"/>
        <v>1</v>
      </c>
    </row>
    <row r="419" spans="1:12" x14ac:dyDescent="0.3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15</v>
      </c>
      <c r="K419">
        <v>5</v>
      </c>
      <c r="L419">
        <f t="shared" si="6"/>
        <v>2</v>
      </c>
    </row>
    <row r="420" spans="1:12" x14ac:dyDescent="0.3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15</v>
      </c>
      <c r="K420">
        <v>3</v>
      </c>
      <c r="L420">
        <f t="shared" si="6"/>
        <v>1</v>
      </c>
    </row>
    <row r="421" spans="1:12" x14ac:dyDescent="0.3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13</v>
      </c>
      <c r="K421">
        <v>1</v>
      </c>
      <c r="L421">
        <f t="shared" si="6"/>
        <v>2</v>
      </c>
    </row>
    <row r="422" spans="1:12" x14ac:dyDescent="0.3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13</v>
      </c>
      <c r="K422">
        <v>1</v>
      </c>
      <c r="L422">
        <f t="shared" si="6"/>
        <v>2</v>
      </c>
    </row>
    <row r="423" spans="1:12" x14ac:dyDescent="0.3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13</v>
      </c>
      <c r="K423">
        <v>2</v>
      </c>
      <c r="L423">
        <f t="shared" si="6"/>
        <v>2</v>
      </c>
    </row>
    <row r="424" spans="1:12" x14ac:dyDescent="0.3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15</v>
      </c>
      <c r="K424">
        <v>4</v>
      </c>
      <c r="L424">
        <f t="shared" si="6"/>
        <v>1</v>
      </c>
    </row>
    <row r="425" spans="1:12" x14ac:dyDescent="0.3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15</v>
      </c>
      <c r="K425">
        <v>1</v>
      </c>
      <c r="L425">
        <f t="shared" si="6"/>
        <v>1</v>
      </c>
    </row>
    <row r="426" spans="1:12" x14ac:dyDescent="0.3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13</v>
      </c>
      <c r="K426">
        <v>3</v>
      </c>
      <c r="L426">
        <f t="shared" si="6"/>
        <v>1</v>
      </c>
    </row>
    <row r="427" spans="1:12" x14ac:dyDescent="0.3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13</v>
      </c>
      <c r="K427">
        <v>2</v>
      </c>
      <c r="L427">
        <f t="shared" si="6"/>
        <v>2</v>
      </c>
    </row>
    <row r="428" spans="1:12" x14ac:dyDescent="0.3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15</v>
      </c>
      <c r="K428">
        <v>2</v>
      </c>
      <c r="L428">
        <f t="shared" si="6"/>
        <v>2</v>
      </c>
    </row>
    <row r="429" spans="1:12" x14ac:dyDescent="0.3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13</v>
      </c>
      <c r="K429">
        <v>2</v>
      </c>
      <c r="L429">
        <f t="shared" si="6"/>
        <v>2</v>
      </c>
    </row>
    <row r="430" spans="1:12" x14ac:dyDescent="0.3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13</v>
      </c>
      <c r="K430">
        <v>2</v>
      </c>
      <c r="L430">
        <f t="shared" si="6"/>
        <v>2</v>
      </c>
    </row>
    <row r="431" spans="1:12" x14ac:dyDescent="0.3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13</v>
      </c>
      <c r="K431">
        <v>5</v>
      </c>
      <c r="L431">
        <f t="shared" si="6"/>
        <v>2</v>
      </c>
    </row>
    <row r="432" spans="1:12" x14ac:dyDescent="0.3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13</v>
      </c>
      <c r="K432">
        <v>3</v>
      </c>
      <c r="L432">
        <f t="shared" si="6"/>
        <v>1</v>
      </c>
    </row>
    <row r="433" spans="1:12" x14ac:dyDescent="0.3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13</v>
      </c>
      <c r="K433">
        <v>2</v>
      </c>
      <c r="L433">
        <f t="shared" si="6"/>
        <v>2</v>
      </c>
    </row>
    <row r="434" spans="1:12" x14ac:dyDescent="0.3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13</v>
      </c>
      <c r="K434">
        <v>5</v>
      </c>
      <c r="L434">
        <f t="shared" si="6"/>
        <v>2</v>
      </c>
    </row>
    <row r="435" spans="1:12" x14ac:dyDescent="0.3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13</v>
      </c>
      <c r="K435">
        <v>1</v>
      </c>
      <c r="L435">
        <f t="shared" si="6"/>
        <v>2</v>
      </c>
    </row>
    <row r="436" spans="1:12" x14ac:dyDescent="0.3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13</v>
      </c>
      <c r="K436">
        <v>5</v>
      </c>
      <c r="L436">
        <f t="shared" si="6"/>
        <v>2</v>
      </c>
    </row>
    <row r="437" spans="1:12" x14ac:dyDescent="0.3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15</v>
      </c>
      <c r="K437">
        <v>2</v>
      </c>
      <c r="L437">
        <f t="shared" si="6"/>
        <v>1</v>
      </c>
    </row>
    <row r="438" spans="1:12" x14ac:dyDescent="0.3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13</v>
      </c>
      <c r="K438">
        <v>3</v>
      </c>
      <c r="L438">
        <f t="shared" si="6"/>
        <v>1</v>
      </c>
    </row>
    <row r="439" spans="1:12" x14ac:dyDescent="0.3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13</v>
      </c>
      <c r="K439">
        <v>1</v>
      </c>
      <c r="L439">
        <f t="shared" si="6"/>
        <v>1</v>
      </c>
    </row>
    <row r="440" spans="1:12" x14ac:dyDescent="0.3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15</v>
      </c>
      <c r="K440">
        <v>2</v>
      </c>
      <c r="L440">
        <f t="shared" si="6"/>
        <v>2</v>
      </c>
    </row>
    <row r="441" spans="1:12" x14ac:dyDescent="0.3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13</v>
      </c>
      <c r="K441">
        <v>2</v>
      </c>
      <c r="L441">
        <f t="shared" si="6"/>
        <v>2</v>
      </c>
    </row>
    <row r="442" spans="1:12" x14ac:dyDescent="0.3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15</v>
      </c>
      <c r="K442">
        <v>3</v>
      </c>
      <c r="L442">
        <f t="shared" si="6"/>
        <v>2</v>
      </c>
    </row>
    <row r="443" spans="1:12" x14ac:dyDescent="0.3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13</v>
      </c>
      <c r="K443">
        <v>3</v>
      </c>
      <c r="L443">
        <f t="shared" si="6"/>
        <v>2</v>
      </c>
    </row>
    <row r="444" spans="1:12" x14ac:dyDescent="0.3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13</v>
      </c>
      <c r="K444">
        <v>1</v>
      </c>
      <c r="L444">
        <f t="shared" si="6"/>
        <v>1</v>
      </c>
    </row>
    <row r="445" spans="1:12" x14ac:dyDescent="0.3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15</v>
      </c>
      <c r="K445">
        <v>3</v>
      </c>
      <c r="L445">
        <f t="shared" si="6"/>
        <v>1</v>
      </c>
    </row>
    <row r="446" spans="1:12" x14ac:dyDescent="0.3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13</v>
      </c>
      <c r="K446">
        <v>5</v>
      </c>
      <c r="L446">
        <f t="shared" si="6"/>
        <v>1</v>
      </c>
    </row>
    <row r="447" spans="1:12" x14ac:dyDescent="0.3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13</v>
      </c>
      <c r="K447">
        <v>4</v>
      </c>
      <c r="L447">
        <f t="shared" si="6"/>
        <v>2</v>
      </c>
    </row>
    <row r="448" spans="1:12" x14ac:dyDescent="0.3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13</v>
      </c>
      <c r="K448">
        <v>5</v>
      </c>
      <c r="L448">
        <f t="shared" si="6"/>
        <v>1</v>
      </c>
    </row>
    <row r="449" spans="1:12" x14ac:dyDescent="0.3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13</v>
      </c>
      <c r="K449">
        <v>3</v>
      </c>
      <c r="L449">
        <f t="shared" si="6"/>
        <v>2</v>
      </c>
    </row>
    <row r="450" spans="1:12" x14ac:dyDescent="0.3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15</v>
      </c>
      <c r="K450">
        <v>2</v>
      </c>
      <c r="L450">
        <f t="shared" si="6"/>
        <v>1</v>
      </c>
    </row>
    <row r="451" spans="1:12" x14ac:dyDescent="0.3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15</v>
      </c>
      <c r="K451">
        <v>1</v>
      </c>
      <c r="L451">
        <f t="shared" ref="L451:L514" si="7">IF(AND(I451&gt;18,I451&lt;35),1,2)</f>
        <v>1</v>
      </c>
    </row>
    <row r="452" spans="1:12" x14ac:dyDescent="0.3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13</v>
      </c>
      <c r="K452">
        <v>2</v>
      </c>
      <c r="L452">
        <f t="shared" si="7"/>
        <v>2</v>
      </c>
    </row>
    <row r="453" spans="1:12" x14ac:dyDescent="0.3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13</v>
      </c>
      <c r="K453">
        <v>5</v>
      </c>
      <c r="L453">
        <f t="shared" si="7"/>
        <v>2</v>
      </c>
    </row>
    <row r="454" spans="1:12" x14ac:dyDescent="0.3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13</v>
      </c>
      <c r="K454">
        <v>2</v>
      </c>
      <c r="L454">
        <f t="shared" si="7"/>
        <v>1</v>
      </c>
    </row>
    <row r="455" spans="1:12" x14ac:dyDescent="0.3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13</v>
      </c>
      <c r="K455">
        <v>1</v>
      </c>
      <c r="L455">
        <f t="shared" si="7"/>
        <v>2</v>
      </c>
    </row>
    <row r="456" spans="1:12" x14ac:dyDescent="0.3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13</v>
      </c>
      <c r="K456">
        <v>2</v>
      </c>
      <c r="L456">
        <f t="shared" si="7"/>
        <v>2</v>
      </c>
    </row>
    <row r="457" spans="1:12" x14ac:dyDescent="0.3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15</v>
      </c>
      <c r="K457">
        <v>1</v>
      </c>
      <c r="L457">
        <f t="shared" si="7"/>
        <v>1</v>
      </c>
    </row>
    <row r="458" spans="1:12" x14ac:dyDescent="0.3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15</v>
      </c>
      <c r="K458">
        <v>1</v>
      </c>
      <c r="L458">
        <f t="shared" si="7"/>
        <v>1</v>
      </c>
    </row>
    <row r="459" spans="1:12" x14ac:dyDescent="0.3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13</v>
      </c>
      <c r="K459">
        <v>3</v>
      </c>
      <c r="L459">
        <f t="shared" si="7"/>
        <v>2</v>
      </c>
    </row>
    <row r="460" spans="1:12" x14ac:dyDescent="0.3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15</v>
      </c>
      <c r="K460">
        <v>1</v>
      </c>
      <c r="L460">
        <f t="shared" si="7"/>
        <v>2</v>
      </c>
    </row>
    <row r="461" spans="1:12" x14ac:dyDescent="0.3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13</v>
      </c>
      <c r="K461">
        <v>2</v>
      </c>
      <c r="L461">
        <f t="shared" si="7"/>
        <v>2</v>
      </c>
    </row>
    <row r="462" spans="1:12" x14ac:dyDescent="0.3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15</v>
      </c>
      <c r="K462">
        <v>5</v>
      </c>
      <c r="L462">
        <f t="shared" si="7"/>
        <v>1</v>
      </c>
    </row>
    <row r="463" spans="1:12" x14ac:dyDescent="0.3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13</v>
      </c>
      <c r="K463">
        <v>2</v>
      </c>
      <c r="L463">
        <f t="shared" si="7"/>
        <v>2</v>
      </c>
    </row>
    <row r="464" spans="1:12" x14ac:dyDescent="0.3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13</v>
      </c>
      <c r="K464">
        <v>3</v>
      </c>
      <c r="L464">
        <f t="shared" si="7"/>
        <v>2</v>
      </c>
    </row>
    <row r="465" spans="1:12" x14ac:dyDescent="0.3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13</v>
      </c>
      <c r="K465">
        <v>3</v>
      </c>
      <c r="L465">
        <f t="shared" si="7"/>
        <v>1</v>
      </c>
    </row>
    <row r="466" spans="1:12" x14ac:dyDescent="0.3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15</v>
      </c>
      <c r="K466">
        <v>1</v>
      </c>
      <c r="L466">
        <f t="shared" si="7"/>
        <v>1</v>
      </c>
    </row>
    <row r="467" spans="1:12" x14ac:dyDescent="0.3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15</v>
      </c>
      <c r="K467">
        <v>3</v>
      </c>
      <c r="L467">
        <f t="shared" si="7"/>
        <v>2</v>
      </c>
    </row>
    <row r="468" spans="1:12" x14ac:dyDescent="0.3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13</v>
      </c>
      <c r="K468">
        <v>4</v>
      </c>
      <c r="L468">
        <f t="shared" si="7"/>
        <v>2</v>
      </c>
    </row>
    <row r="469" spans="1:12" x14ac:dyDescent="0.3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15</v>
      </c>
      <c r="K469">
        <v>3</v>
      </c>
      <c r="L469">
        <f t="shared" si="7"/>
        <v>2</v>
      </c>
    </row>
    <row r="470" spans="1:12" x14ac:dyDescent="0.3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13</v>
      </c>
      <c r="K470">
        <v>4</v>
      </c>
      <c r="L470">
        <f t="shared" si="7"/>
        <v>2</v>
      </c>
    </row>
    <row r="471" spans="1:12" x14ac:dyDescent="0.3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13</v>
      </c>
      <c r="K471">
        <v>1</v>
      </c>
      <c r="L471">
        <f t="shared" si="7"/>
        <v>2</v>
      </c>
    </row>
    <row r="472" spans="1:12" x14ac:dyDescent="0.3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13</v>
      </c>
      <c r="K472">
        <v>3</v>
      </c>
      <c r="L472">
        <f t="shared" si="7"/>
        <v>2</v>
      </c>
    </row>
    <row r="473" spans="1:12" x14ac:dyDescent="0.3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15</v>
      </c>
      <c r="K473">
        <v>5</v>
      </c>
      <c r="L473">
        <f t="shared" si="7"/>
        <v>2</v>
      </c>
    </row>
    <row r="474" spans="1:12" x14ac:dyDescent="0.3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15</v>
      </c>
      <c r="K474">
        <v>2</v>
      </c>
      <c r="L474">
        <f t="shared" si="7"/>
        <v>1</v>
      </c>
    </row>
    <row r="475" spans="1:12" x14ac:dyDescent="0.3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13</v>
      </c>
      <c r="K475">
        <v>3</v>
      </c>
      <c r="L475">
        <f t="shared" si="7"/>
        <v>1</v>
      </c>
    </row>
    <row r="476" spans="1:12" x14ac:dyDescent="0.3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15</v>
      </c>
      <c r="K476">
        <v>3</v>
      </c>
      <c r="L476">
        <f t="shared" si="7"/>
        <v>2</v>
      </c>
    </row>
    <row r="477" spans="1:12" x14ac:dyDescent="0.3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15</v>
      </c>
      <c r="K477">
        <v>4</v>
      </c>
      <c r="L477">
        <f t="shared" si="7"/>
        <v>2</v>
      </c>
    </row>
    <row r="478" spans="1:12" x14ac:dyDescent="0.3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15</v>
      </c>
      <c r="K478">
        <v>4</v>
      </c>
      <c r="L478">
        <f t="shared" si="7"/>
        <v>2</v>
      </c>
    </row>
    <row r="479" spans="1:12" x14ac:dyDescent="0.3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15</v>
      </c>
      <c r="K479">
        <v>3</v>
      </c>
      <c r="L479">
        <f t="shared" si="7"/>
        <v>2</v>
      </c>
    </row>
    <row r="480" spans="1:12" x14ac:dyDescent="0.3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15</v>
      </c>
      <c r="K480">
        <v>3</v>
      </c>
      <c r="L480">
        <f t="shared" si="7"/>
        <v>2</v>
      </c>
    </row>
    <row r="481" spans="1:12" x14ac:dyDescent="0.3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13</v>
      </c>
      <c r="K481">
        <v>3</v>
      </c>
      <c r="L481">
        <f t="shared" si="7"/>
        <v>2</v>
      </c>
    </row>
    <row r="482" spans="1:12" x14ac:dyDescent="0.3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13</v>
      </c>
      <c r="K482">
        <v>2</v>
      </c>
      <c r="L482">
        <f t="shared" si="7"/>
        <v>2</v>
      </c>
    </row>
    <row r="483" spans="1:12" x14ac:dyDescent="0.3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13</v>
      </c>
      <c r="K483">
        <v>5</v>
      </c>
      <c r="L483">
        <f t="shared" si="7"/>
        <v>1</v>
      </c>
    </row>
    <row r="484" spans="1:12" x14ac:dyDescent="0.3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13</v>
      </c>
      <c r="K484">
        <v>5</v>
      </c>
      <c r="L484">
        <f t="shared" si="7"/>
        <v>2</v>
      </c>
    </row>
    <row r="485" spans="1:12" x14ac:dyDescent="0.3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15</v>
      </c>
      <c r="K485">
        <v>1</v>
      </c>
      <c r="L485">
        <f t="shared" si="7"/>
        <v>2</v>
      </c>
    </row>
    <row r="486" spans="1:12" x14ac:dyDescent="0.3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15</v>
      </c>
      <c r="K486">
        <v>4</v>
      </c>
      <c r="L486">
        <f t="shared" si="7"/>
        <v>2</v>
      </c>
    </row>
    <row r="487" spans="1:12" x14ac:dyDescent="0.3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13</v>
      </c>
      <c r="K487">
        <v>1</v>
      </c>
      <c r="L487">
        <f t="shared" si="7"/>
        <v>2</v>
      </c>
    </row>
    <row r="488" spans="1:12" x14ac:dyDescent="0.3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15</v>
      </c>
      <c r="K488">
        <v>2</v>
      </c>
      <c r="L488">
        <f t="shared" si="7"/>
        <v>2</v>
      </c>
    </row>
    <row r="489" spans="1:12" x14ac:dyDescent="0.3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15</v>
      </c>
      <c r="K489">
        <v>3</v>
      </c>
      <c r="L489">
        <f t="shared" si="7"/>
        <v>2</v>
      </c>
    </row>
    <row r="490" spans="1:12" x14ac:dyDescent="0.3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15</v>
      </c>
      <c r="K490">
        <v>4</v>
      </c>
      <c r="L490">
        <f t="shared" si="7"/>
        <v>1</v>
      </c>
    </row>
    <row r="491" spans="1:12" x14ac:dyDescent="0.3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13</v>
      </c>
      <c r="K491">
        <v>5</v>
      </c>
      <c r="L491">
        <f t="shared" si="7"/>
        <v>1</v>
      </c>
    </row>
    <row r="492" spans="1:12" x14ac:dyDescent="0.3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13</v>
      </c>
      <c r="K492">
        <v>4</v>
      </c>
      <c r="L492">
        <f t="shared" si="7"/>
        <v>2</v>
      </c>
    </row>
    <row r="493" spans="1:12" x14ac:dyDescent="0.3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15</v>
      </c>
      <c r="K493">
        <v>2</v>
      </c>
      <c r="L493">
        <f t="shared" si="7"/>
        <v>2</v>
      </c>
    </row>
    <row r="494" spans="1:12" x14ac:dyDescent="0.3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15</v>
      </c>
      <c r="K494">
        <v>1</v>
      </c>
      <c r="L494">
        <f t="shared" si="7"/>
        <v>2</v>
      </c>
    </row>
    <row r="495" spans="1:12" x14ac:dyDescent="0.3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13</v>
      </c>
      <c r="K495">
        <v>4</v>
      </c>
      <c r="L495">
        <f t="shared" si="7"/>
        <v>1</v>
      </c>
    </row>
    <row r="496" spans="1:12" x14ac:dyDescent="0.3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15</v>
      </c>
      <c r="K496">
        <v>2</v>
      </c>
      <c r="L496">
        <f t="shared" si="7"/>
        <v>1</v>
      </c>
    </row>
    <row r="497" spans="1:12" x14ac:dyDescent="0.3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13</v>
      </c>
      <c r="K497">
        <v>5</v>
      </c>
      <c r="L497">
        <f t="shared" si="7"/>
        <v>2</v>
      </c>
    </row>
    <row r="498" spans="1:12" x14ac:dyDescent="0.3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15</v>
      </c>
      <c r="K498">
        <v>3</v>
      </c>
      <c r="L498">
        <f t="shared" si="7"/>
        <v>2</v>
      </c>
    </row>
    <row r="499" spans="1:12" x14ac:dyDescent="0.3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15</v>
      </c>
      <c r="K499">
        <v>2</v>
      </c>
      <c r="L499">
        <f t="shared" si="7"/>
        <v>1</v>
      </c>
    </row>
    <row r="500" spans="1:12" x14ac:dyDescent="0.3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13</v>
      </c>
      <c r="K500">
        <v>3</v>
      </c>
      <c r="L500">
        <f t="shared" si="7"/>
        <v>2</v>
      </c>
    </row>
    <row r="501" spans="1:12" x14ac:dyDescent="0.3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15</v>
      </c>
      <c r="K501">
        <v>2</v>
      </c>
      <c r="L501">
        <f t="shared" si="7"/>
        <v>2</v>
      </c>
    </row>
    <row r="502" spans="1:12" x14ac:dyDescent="0.3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13</v>
      </c>
      <c r="K502">
        <v>1</v>
      </c>
      <c r="L502">
        <f t="shared" si="7"/>
        <v>1</v>
      </c>
    </row>
    <row r="503" spans="1:12" x14ac:dyDescent="0.3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15</v>
      </c>
      <c r="K503">
        <v>4</v>
      </c>
      <c r="L503">
        <f t="shared" si="7"/>
        <v>1</v>
      </c>
    </row>
    <row r="504" spans="1:12" x14ac:dyDescent="0.3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15</v>
      </c>
      <c r="K504">
        <v>5</v>
      </c>
      <c r="L504">
        <f t="shared" si="7"/>
        <v>2</v>
      </c>
    </row>
    <row r="505" spans="1:12" x14ac:dyDescent="0.3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13</v>
      </c>
      <c r="K505">
        <v>3</v>
      </c>
      <c r="L505">
        <f t="shared" si="7"/>
        <v>2</v>
      </c>
    </row>
    <row r="506" spans="1:12" x14ac:dyDescent="0.3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13</v>
      </c>
      <c r="K506">
        <v>5</v>
      </c>
      <c r="L506">
        <f t="shared" si="7"/>
        <v>2</v>
      </c>
    </row>
    <row r="507" spans="1:12" x14ac:dyDescent="0.3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15</v>
      </c>
      <c r="K507">
        <v>4</v>
      </c>
      <c r="L507">
        <f t="shared" si="7"/>
        <v>2</v>
      </c>
    </row>
    <row r="508" spans="1:12" x14ac:dyDescent="0.3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13</v>
      </c>
      <c r="K508">
        <v>3</v>
      </c>
      <c r="L508">
        <f t="shared" si="7"/>
        <v>1</v>
      </c>
    </row>
    <row r="509" spans="1:12" x14ac:dyDescent="0.3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15</v>
      </c>
      <c r="K509">
        <v>1</v>
      </c>
      <c r="L509">
        <f t="shared" si="7"/>
        <v>2</v>
      </c>
    </row>
    <row r="510" spans="1:12" x14ac:dyDescent="0.3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13</v>
      </c>
      <c r="K510">
        <v>3</v>
      </c>
      <c r="L510">
        <f t="shared" si="7"/>
        <v>1</v>
      </c>
    </row>
    <row r="511" spans="1:12" x14ac:dyDescent="0.3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13</v>
      </c>
      <c r="K511">
        <v>5</v>
      </c>
      <c r="L511">
        <f t="shared" si="7"/>
        <v>1</v>
      </c>
    </row>
    <row r="512" spans="1:12" x14ac:dyDescent="0.3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15</v>
      </c>
      <c r="K512">
        <v>3</v>
      </c>
      <c r="L512">
        <f t="shared" si="7"/>
        <v>2</v>
      </c>
    </row>
    <row r="513" spans="1:12" x14ac:dyDescent="0.3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13</v>
      </c>
      <c r="K513">
        <v>5</v>
      </c>
      <c r="L513">
        <f t="shared" si="7"/>
        <v>2</v>
      </c>
    </row>
    <row r="514" spans="1:12" x14ac:dyDescent="0.3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13</v>
      </c>
      <c r="K514">
        <v>1</v>
      </c>
      <c r="L514">
        <f t="shared" si="7"/>
        <v>1</v>
      </c>
    </row>
    <row r="515" spans="1:12" x14ac:dyDescent="0.3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15</v>
      </c>
      <c r="K515">
        <v>2</v>
      </c>
      <c r="L515">
        <f t="shared" ref="L515:L578" si="8">IF(AND(I515&gt;18,I515&lt;35),1,2)</f>
        <v>2</v>
      </c>
    </row>
    <row r="516" spans="1:12" x14ac:dyDescent="0.3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13</v>
      </c>
      <c r="K516">
        <v>4</v>
      </c>
      <c r="L516">
        <f t="shared" si="8"/>
        <v>2</v>
      </c>
    </row>
    <row r="517" spans="1:12" x14ac:dyDescent="0.3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13</v>
      </c>
      <c r="K517">
        <v>2</v>
      </c>
      <c r="L517">
        <f t="shared" si="8"/>
        <v>1</v>
      </c>
    </row>
    <row r="518" spans="1:12" x14ac:dyDescent="0.3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13</v>
      </c>
      <c r="K518">
        <v>2</v>
      </c>
      <c r="L518">
        <f t="shared" si="8"/>
        <v>2</v>
      </c>
    </row>
    <row r="519" spans="1:12" x14ac:dyDescent="0.3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13</v>
      </c>
      <c r="K519">
        <v>1</v>
      </c>
      <c r="L519">
        <f t="shared" si="8"/>
        <v>1</v>
      </c>
    </row>
    <row r="520" spans="1:12" x14ac:dyDescent="0.3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15</v>
      </c>
      <c r="K520">
        <v>5</v>
      </c>
      <c r="L520">
        <f t="shared" si="8"/>
        <v>1</v>
      </c>
    </row>
    <row r="521" spans="1:12" x14ac:dyDescent="0.3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13</v>
      </c>
      <c r="K521">
        <v>2</v>
      </c>
      <c r="L521">
        <f t="shared" si="8"/>
        <v>2</v>
      </c>
    </row>
    <row r="522" spans="1:12" x14ac:dyDescent="0.3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13</v>
      </c>
      <c r="K522">
        <v>4</v>
      </c>
      <c r="L522">
        <f t="shared" si="8"/>
        <v>1</v>
      </c>
    </row>
    <row r="523" spans="1:12" x14ac:dyDescent="0.3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13</v>
      </c>
      <c r="K523">
        <v>1</v>
      </c>
      <c r="L523">
        <f t="shared" si="8"/>
        <v>1</v>
      </c>
    </row>
    <row r="524" spans="1:12" x14ac:dyDescent="0.3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15</v>
      </c>
      <c r="K524">
        <v>4</v>
      </c>
      <c r="L524">
        <f t="shared" si="8"/>
        <v>2</v>
      </c>
    </row>
    <row r="525" spans="1:12" x14ac:dyDescent="0.3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13</v>
      </c>
      <c r="K525">
        <v>5</v>
      </c>
      <c r="L525">
        <f t="shared" si="8"/>
        <v>2</v>
      </c>
    </row>
    <row r="526" spans="1:12" x14ac:dyDescent="0.3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15</v>
      </c>
      <c r="K526">
        <v>3</v>
      </c>
      <c r="L526">
        <f t="shared" si="8"/>
        <v>2</v>
      </c>
    </row>
    <row r="527" spans="1:12" x14ac:dyDescent="0.3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13</v>
      </c>
      <c r="K527">
        <v>3</v>
      </c>
      <c r="L527">
        <f t="shared" si="8"/>
        <v>2</v>
      </c>
    </row>
    <row r="528" spans="1:12" x14ac:dyDescent="0.3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15</v>
      </c>
      <c r="K528">
        <v>2</v>
      </c>
      <c r="L528">
        <f t="shared" si="8"/>
        <v>1</v>
      </c>
    </row>
    <row r="529" spans="1:12" x14ac:dyDescent="0.3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15</v>
      </c>
      <c r="K529">
        <v>1</v>
      </c>
      <c r="L529">
        <f t="shared" si="8"/>
        <v>2</v>
      </c>
    </row>
    <row r="530" spans="1:12" x14ac:dyDescent="0.3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13</v>
      </c>
      <c r="K530">
        <v>2</v>
      </c>
      <c r="L530">
        <f t="shared" si="8"/>
        <v>1</v>
      </c>
    </row>
    <row r="531" spans="1:12" x14ac:dyDescent="0.3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15</v>
      </c>
      <c r="K531">
        <v>3</v>
      </c>
      <c r="L531">
        <f t="shared" si="8"/>
        <v>2</v>
      </c>
    </row>
    <row r="532" spans="1:12" x14ac:dyDescent="0.3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15</v>
      </c>
      <c r="K532">
        <v>5</v>
      </c>
      <c r="L532">
        <f t="shared" si="8"/>
        <v>2</v>
      </c>
    </row>
    <row r="533" spans="1:12" x14ac:dyDescent="0.3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13</v>
      </c>
      <c r="K533">
        <v>4</v>
      </c>
      <c r="L533">
        <f t="shared" si="8"/>
        <v>2</v>
      </c>
    </row>
    <row r="534" spans="1:12" x14ac:dyDescent="0.3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15</v>
      </c>
      <c r="K534">
        <v>4</v>
      </c>
      <c r="L534">
        <f t="shared" si="8"/>
        <v>1</v>
      </c>
    </row>
    <row r="535" spans="1:12" x14ac:dyDescent="0.3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15</v>
      </c>
      <c r="K535">
        <v>3</v>
      </c>
      <c r="L535">
        <f t="shared" si="8"/>
        <v>1</v>
      </c>
    </row>
    <row r="536" spans="1:12" x14ac:dyDescent="0.3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13</v>
      </c>
      <c r="K536">
        <v>4</v>
      </c>
      <c r="L536">
        <f t="shared" si="8"/>
        <v>1</v>
      </c>
    </row>
    <row r="537" spans="1:12" x14ac:dyDescent="0.3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15</v>
      </c>
      <c r="K537">
        <v>2</v>
      </c>
      <c r="L537">
        <f t="shared" si="8"/>
        <v>1</v>
      </c>
    </row>
    <row r="538" spans="1:12" x14ac:dyDescent="0.3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13</v>
      </c>
      <c r="K538">
        <v>3</v>
      </c>
      <c r="L538">
        <f t="shared" si="8"/>
        <v>1</v>
      </c>
    </row>
    <row r="539" spans="1:12" x14ac:dyDescent="0.3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15</v>
      </c>
      <c r="K539">
        <v>5</v>
      </c>
      <c r="L539">
        <f t="shared" si="8"/>
        <v>1</v>
      </c>
    </row>
    <row r="540" spans="1:12" x14ac:dyDescent="0.3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15</v>
      </c>
      <c r="K540">
        <v>5</v>
      </c>
      <c r="L540">
        <f t="shared" si="8"/>
        <v>2</v>
      </c>
    </row>
    <row r="541" spans="1:12" x14ac:dyDescent="0.3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15</v>
      </c>
      <c r="K541">
        <v>5</v>
      </c>
      <c r="L541">
        <f t="shared" si="8"/>
        <v>1</v>
      </c>
    </row>
    <row r="542" spans="1:12" x14ac:dyDescent="0.3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13</v>
      </c>
      <c r="K542">
        <v>5</v>
      </c>
      <c r="L542">
        <f t="shared" si="8"/>
        <v>2</v>
      </c>
    </row>
    <row r="543" spans="1:12" x14ac:dyDescent="0.3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15</v>
      </c>
      <c r="K543">
        <v>2</v>
      </c>
      <c r="L543">
        <f t="shared" si="8"/>
        <v>1</v>
      </c>
    </row>
    <row r="544" spans="1:12" x14ac:dyDescent="0.3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13</v>
      </c>
      <c r="K544">
        <v>3</v>
      </c>
      <c r="L544">
        <f t="shared" si="8"/>
        <v>1</v>
      </c>
    </row>
    <row r="545" spans="1:12" x14ac:dyDescent="0.3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13</v>
      </c>
      <c r="K545">
        <v>3</v>
      </c>
      <c r="L545">
        <f t="shared" si="8"/>
        <v>2</v>
      </c>
    </row>
    <row r="546" spans="1:12" x14ac:dyDescent="0.3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15</v>
      </c>
      <c r="K546">
        <v>5</v>
      </c>
      <c r="L546">
        <f t="shared" si="8"/>
        <v>1</v>
      </c>
    </row>
    <row r="547" spans="1:12" x14ac:dyDescent="0.3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15</v>
      </c>
      <c r="K547">
        <v>1</v>
      </c>
      <c r="L547">
        <f t="shared" si="8"/>
        <v>1</v>
      </c>
    </row>
    <row r="548" spans="1:12" x14ac:dyDescent="0.3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15</v>
      </c>
      <c r="K548">
        <v>3</v>
      </c>
      <c r="L548">
        <f t="shared" si="8"/>
        <v>1</v>
      </c>
    </row>
    <row r="549" spans="1:12" x14ac:dyDescent="0.3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15</v>
      </c>
      <c r="K549">
        <v>2</v>
      </c>
      <c r="L549">
        <f t="shared" si="8"/>
        <v>2</v>
      </c>
    </row>
    <row r="550" spans="1:12" x14ac:dyDescent="0.3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13</v>
      </c>
      <c r="K550">
        <v>4</v>
      </c>
      <c r="L550">
        <f t="shared" si="8"/>
        <v>2</v>
      </c>
    </row>
    <row r="551" spans="1:12" x14ac:dyDescent="0.3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15</v>
      </c>
      <c r="K551">
        <v>2</v>
      </c>
      <c r="L551">
        <f t="shared" si="8"/>
        <v>1</v>
      </c>
    </row>
    <row r="552" spans="1:12" x14ac:dyDescent="0.3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13</v>
      </c>
      <c r="K552">
        <v>4</v>
      </c>
      <c r="L552">
        <f t="shared" si="8"/>
        <v>2</v>
      </c>
    </row>
    <row r="553" spans="1:12" x14ac:dyDescent="0.3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15</v>
      </c>
      <c r="K553">
        <v>2</v>
      </c>
      <c r="L553">
        <f t="shared" si="8"/>
        <v>2</v>
      </c>
    </row>
    <row r="554" spans="1:12" x14ac:dyDescent="0.3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13</v>
      </c>
      <c r="K554">
        <v>2</v>
      </c>
      <c r="L554">
        <f t="shared" si="8"/>
        <v>1</v>
      </c>
    </row>
    <row r="555" spans="1:12" x14ac:dyDescent="0.3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15</v>
      </c>
      <c r="K555">
        <v>4</v>
      </c>
      <c r="L555">
        <f t="shared" si="8"/>
        <v>2</v>
      </c>
    </row>
    <row r="556" spans="1:12" x14ac:dyDescent="0.3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15</v>
      </c>
      <c r="K556">
        <v>4</v>
      </c>
      <c r="L556">
        <f t="shared" si="8"/>
        <v>1</v>
      </c>
    </row>
    <row r="557" spans="1:12" x14ac:dyDescent="0.3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15</v>
      </c>
      <c r="K557">
        <v>3</v>
      </c>
      <c r="L557">
        <f t="shared" si="8"/>
        <v>1</v>
      </c>
    </row>
    <row r="558" spans="1:12" x14ac:dyDescent="0.3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15</v>
      </c>
      <c r="K558">
        <v>2</v>
      </c>
      <c r="L558">
        <f t="shared" si="8"/>
        <v>2</v>
      </c>
    </row>
    <row r="559" spans="1:12" x14ac:dyDescent="0.3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13</v>
      </c>
      <c r="K559">
        <v>3</v>
      </c>
      <c r="L559">
        <f t="shared" si="8"/>
        <v>1</v>
      </c>
    </row>
    <row r="560" spans="1:12" x14ac:dyDescent="0.3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13</v>
      </c>
      <c r="K560">
        <v>4</v>
      </c>
      <c r="L560">
        <f t="shared" si="8"/>
        <v>2</v>
      </c>
    </row>
    <row r="561" spans="1:12" x14ac:dyDescent="0.3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13</v>
      </c>
      <c r="K561">
        <v>5</v>
      </c>
      <c r="L561">
        <f t="shared" si="8"/>
        <v>2</v>
      </c>
    </row>
    <row r="562" spans="1:12" x14ac:dyDescent="0.3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15</v>
      </c>
      <c r="K562">
        <v>4</v>
      </c>
      <c r="L562">
        <f t="shared" si="8"/>
        <v>2</v>
      </c>
    </row>
    <row r="563" spans="1:12" x14ac:dyDescent="0.3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13</v>
      </c>
      <c r="K563">
        <v>2</v>
      </c>
      <c r="L563">
        <f t="shared" si="8"/>
        <v>2</v>
      </c>
    </row>
    <row r="564" spans="1:12" x14ac:dyDescent="0.3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15</v>
      </c>
      <c r="K564">
        <v>1</v>
      </c>
      <c r="L564">
        <f t="shared" si="8"/>
        <v>1</v>
      </c>
    </row>
    <row r="565" spans="1:12" x14ac:dyDescent="0.3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13</v>
      </c>
      <c r="K565">
        <v>1</v>
      </c>
      <c r="L565">
        <f t="shared" si="8"/>
        <v>1</v>
      </c>
    </row>
    <row r="566" spans="1:12" x14ac:dyDescent="0.3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13</v>
      </c>
      <c r="K566">
        <v>3</v>
      </c>
      <c r="L566">
        <f t="shared" si="8"/>
        <v>2</v>
      </c>
    </row>
    <row r="567" spans="1:12" x14ac:dyDescent="0.3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13</v>
      </c>
      <c r="K567">
        <v>1</v>
      </c>
      <c r="L567">
        <f t="shared" si="8"/>
        <v>2</v>
      </c>
    </row>
    <row r="568" spans="1:12" x14ac:dyDescent="0.3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15</v>
      </c>
      <c r="K568">
        <v>2</v>
      </c>
      <c r="L568">
        <f t="shared" si="8"/>
        <v>2</v>
      </c>
    </row>
    <row r="569" spans="1:12" x14ac:dyDescent="0.3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13</v>
      </c>
      <c r="K569">
        <v>1</v>
      </c>
      <c r="L569">
        <f t="shared" si="8"/>
        <v>1</v>
      </c>
    </row>
    <row r="570" spans="1:12" x14ac:dyDescent="0.3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15</v>
      </c>
      <c r="K570">
        <v>3</v>
      </c>
      <c r="L570">
        <f t="shared" si="8"/>
        <v>2</v>
      </c>
    </row>
    <row r="571" spans="1:12" x14ac:dyDescent="0.3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13</v>
      </c>
      <c r="K571">
        <v>4</v>
      </c>
      <c r="L571">
        <f t="shared" si="8"/>
        <v>2</v>
      </c>
    </row>
    <row r="572" spans="1:12" x14ac:dyDescent="0.3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13</v>
      </c>
      <c r="K572">
        <v>4</v>
      </c>
      <c r="L572">
        <f t="shared" si="8"/>
        <v>2</v>
      </c>
    </row>
    <row r="573" spans="1:12" x14ac:dyDescent="0.3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15</v>
      </c>
      <c r="K573">
        <v>4</v>
      </c>
      <c r="L573">
        <f t="shared" si="8"/>
        <v>1</v>
      </c>
    </row>
    <row r="574" spans="1:12" x14ac:dyDescent="0.3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15</v>
      </c>
      <c r="K574">
        <v>3</v>
      </c>
      <c r="L574">
        <f t="shared" si="8"/>
        <v>2</v>
      </c>
    </row>
    <row r="575" spans="1:12" x14ac:dyDescent="0.3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13</v>
      </c>
      <c r="K575">
        <v>5</v>
      </c>
      <c r="L575">
        <f t="shared" si="8"/>
        <v>1</v>
      </c>
    </row>
    <row r="576" spans="1:12" x14ac:dyDescent="0.3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15</v>
      </c>
      <c r="K576">
        <v>5</v>
      </c>
      <c r="L576">
        <f t="shared" si="8"/>
        <v>2</v>
      </c>
    </row>
    <row r="577" spans="1:12" x14ac:dyDescent="0.3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13</v>
      </c>
      <c r="K577">
        <v>2</v>
      </c>
      <c r="L577">
        <f t="shared" si="8"/>
        <v>2</v>
      </c>
    </row>
    <row r="578" spans="1:12" x14ac:dyDescent="0.3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15</v>
      </c>
      <c r="K578">
        <v>5</v>
      </c>
      <c r="L578">
        <f t="shared" si="8"/>
        <v>1</v>
      </c>
    </row>
    <row r="579" spans="1:12" x14ac:dyDescent="0.3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15</v>
      </c>
      <c r="K579">
        <v>4</v>
      </c>
      <c r="L579">
        <f t="shared" ref="L579:L642" si="9">IF(AND(I579&gt;18,I579&lt;35),1,2)</f>
        <v>2</v>
      </c>
    </row>
    <row r="580" spans="1:12" x14ac:dyDescent="0.3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15</v>
      </c>
      <c r="K580">
        <v>3</v>
      </c>
      <c r="L580">
        <f t="shared" si="9"/>
        <v>2</v>
      </c>
    </row>
    <row r="581" spans="1:12" x14ac:dyDescent="0.3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13</v>
      </c>
      <c r="K581">
        <v>1</v>
      </c>
      <c r="L581">
        <f t="shared" si="9"/>
        <v>2</v>
      </c>
    </row>
    <row r="582" spans="1:12" x14ac:dyDescent="0.3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15</v>
      </c>
      <c r="K582">
        <v>5</v>
      </c>
      <c r="L582">
        <f t="shared" si="9"/>
        <v>1</v>
      </c>
    </row>
    <row r="583" spans="1:12" x14ac:dyDescent="0.3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13</v>
      </c>
      <c r="K583">
        <v>2</v>
      </c>
      <c r="L583">
        <f t="shared" si="9"/>
        <v>1</v>
      </c>
    </row>
    <row r="584" spans="1:12" x14ac:dyDescent="0.3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15</v>
      </c>
      <c r="K584">
        <v>3</v>
      </c>
      <c r="L584">
        <f t="shared" si="9"/>
        <v>1</v>
      </c>
    </row>
    <row r="585" spans="1:12" x14ac:dyDescent="0.3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15</v>
      </c>
      <c r="K585">
        <v>1</v>
      </c>
      <c r="L585">
        <f t="shared" si="9"/>
        <v>2</v>
      </c>
    </row>
    <row r="586" spans="1:12" x14ac:dyDescent="0.3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15</v>
      </c>
      <c r="K586">
        <v>1</v>
      </c>
      <c r="L586">
        <f t="shared" si="9"/>
        <v>1</v>
      </c>
    </row>
    <row r="587" spans="1:12" x14ac:dyDescent="0.3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13</v>
      </c>
      <c r="K587">
        <v>2</v>
      </c>
      <c r="L587">
        <f t="shared" si="9"/>
        <v>1</v>
      </c>
    </row>
    <row r="588" spans="1:12" x14ac:dyDescent="0.3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15</v>
      </c>
      <c r="K588">
        <v>3</v>
      </c>
      <c r="L588">
        <f t="shared" si="9"/>
        <v>2</v>
      </c>
    </row>
    <row r="589" spans="1:12" x14ac:dyDescent="0.3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13</v>
      </c>
      <c r="K589">
        <v>4</v>
      </c>
      <c r="L589">
        <f t="shared" si="9"/>
        <v>1</v>
      </c>
    </row>
    <row r="590" spans="1:12" x14ac:dyDescent="0.3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13</v>
      </c>
      <c r="K590">
        <v>4</v>
      </c>
      <c r="L590">
        <f t="shared" si="9"/>
        <v>2</v>
      </c>
    </row>
    <row r="591" spans="1:12" x14ac:dyDescent="0.3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15</v>
      </c>
      <c r="K591">
        <v>2</v>
      </c>
      <c r="L591">
        <f t="shared" si="9"/>
        <v>2</v>
      </c>
    </row>
    <row r="592" spans="1:12" x14ac:dyDescent="0.3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13</v>
      </c>
      <c r="K592">
        <v>2</v>
      </c>
      <c r="L592">
        <f t="shared" si="9"/>
        <v>1</v>
      </c>
    </row>
    <row r="593" spans="1:12" x14ac:dyDescent="0.3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15</v>
      </c>
      <c r="K593">
        <v>5</v>
      </c>
      <c r="L593">
        <f t="shared" si="9"/>
        <v>2</v>
      </c>
    </row>
    <row r="594" spans="1:12" x14ac:dyDescent="0.3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15</v>
      </c>
      <c r="K594">
        <v>4</v>
      </c>
      <c r="L594">
        <f t="shared" si="9"/>
        <v>1</v>
      </c>
    </row>
    <row r="595" spans="1:12" x14ac:dyDescent="0.3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15</v>
      </c>
      <c r="K595">
        <v>3</v>
      </c>
      <c r="L595">
        <f t="shared" si="9"/>
        <v>1</v>
      </c>
    </row>
    <row r="596" spans="1:12" x14ac:dyDescent="0.3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13</v>
      </c>
      <c r="K596">
        <v>4</v>
      </c>
      <c r="L596">
        <f t="shared" si="9"/>
        <v>2</v>
      </c>
    </row>
    <row r="597" spans="1:12" x14ac:dyDescent="0.3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13</v>
      </c>
      <c r="K597">
        <v>5</v>
      </c>
      <c r="L597">
        <f t="shared" si="9"/>
        <v>2</v>
      </c>
    </row>
    <row r="598" spans="1:12" x14ac:dyDescent="0.3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13</v>
      </c>
      <c r="K598">
        <v>5</v>
      </c>
      <c r="L598">
        <f t="shared" si="9"/>
        <v>1</v>
      </c>
    </row>
    <row r="599" spans="1:12" x14ac:dyDescent="0.3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13</v>
      </c>
      <c r="K599">
        <v>2</v>
      </c>
      <c r="L599">
        <f t="shared" si="9"/>
        <v>2</v>
      </c>
    </row>
    <row r="600" spans="1:12" x14ac:dyDescent="0.3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13</v>
      </c>
      <c r="K600">
        <v>2</v>
      </c>
      <c r="L600">
        <f t="shared" si="9"/>
        <v>1</v>
      </c>
    </row>
    <row r="601" spans="1:12" x14ac:dyDescent="0.3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15</v>
      </c>
      <c r="K601">
        <v>3</v>
      </c>
      <c r="L601">
        <f t="shared" si="9"/>
        <v>2</v>
      </c>
    </row>
    <row r="602" spans="1:12" x14ac:dyDescent="0.3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15</v>
      </c>
      <c r="K602">
        <v>4</v>
      </c>
      <c r="L602">
        <f t="shared" si="9"/>
        <v>1</v>
      </c>
    </row>
    <row r="603" spans="1:12" x14ac:dyDescent="0.3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13</v>
      </c>
      <c r="K603">
        <v>1</v>
      </c>
      <c r="L603">
        <f t="shared" si="9"/>
        <v>2</v>
      </c>
    </row>
    <row r="604" spans="1:12" x14ac:dyDescent="0.3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13</v>
      </c>
      <c r="K604">
        <v>2</v>
      </c>
      <c r="L604">
        <f t="shared" si="9"/>
        <v>2</v>
      </c>
    </row>
    <row r="605" spans="1:12" x14ac:dyDescent="0.3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15</v>
      </c>
      <c r="K605">
        <v>2</v>
      </c>
      <c r="L605">
        <f t="shared" si="9"/>
        <v>2</v>
      </c>
    </row>
    <row r="606" spans="1:12" x14ac:dyDescent="0.3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15</v>
      </c>
      <c r="K606">
        <v>3</v>
      </c>
      <c r="L606">
        <f t="shared" si="9"/>
        <v>2</v>
      </c>
    </row>
    <row r="607" spans="1:12" x14ac:dyDescent="0.3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15</v>
      </c>
      <c r="K607">
        <v>4</v>
      </c>
      <c r="L607">
        <f t="shared" si="9"/>
        <v>2</v>
      </c>
    </row>
    <row r="608" spans="1:12" x14ac:dyDescent="0.3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15</v>
      </c>
      <c r="K608">
        <v>5</v>
      </c>
      <c r="L608">
        <f t="shared" si="9"/>
        <v>2</v>
      </c>
    </row>
    <row r="609" spans="1:12" x14ac:dyDescent="0.3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13</v>
      </c>
      <c r="K609">
        <v>3</v>
      </c>
      <c r="L609">
        <f t="shared" si="9"/>
        <v>1</v>
      </c>
    </row>
    <row r="610" spans="1:12" x14ac:dyDescent="0.3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15</v>
      </c>
      <c r="K610">
        <v>3</v>
      </c>
      <c r="L610">
        <f t="shared" si="9"/>
        <v>2</v>
      </c>
    </row>
    <row r="611" spans="1:12" x14ac:dyDescent="0.3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13</v>
      </c>
      <c r="K611">
        <v>5</v>
      </c>
      <c r="L611">
        <f t="shared" si="9"/>
        <v>2</v>
      </c>
    </row>
    <row r="612" spans="1:12" x14ac:dyDescent="0.3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13</v>
      </c>
      <c r="K612">
        <v>5</v>
      </c>
      <c r="L612">
        <f t="shared" si="9"/>
        <v>2</v>
      </c>
    </row>
    <row r="613" spans="1:12" x14ac:dyDescent="0.3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13</v>
      </c>
      <c r="K613">
        <v>1</v>
      </c>
      <c r="L613">
        <f t="shared" si="9"/>
        <v>2</v>
      </c>
    </row>
    <row r="614" spans="1:12" x14ac:dyDescent="0.3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13</v>
      </c>
      <c r="K614">
        <v>5</v>
      </c>
      <c r="L614">
        <f t="shared" si="9"/>
        <v>2</v>
      </c>
    </row>
    <row r="615" spans="1:12" x14ac:dyDescent="0.3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15</v>
      </c>
      <c r="K615">
        <v>1</v>
      </c>
      <c r="L615">
        <f t="shared" si="9"/>
        <v>2</v>
      </c>
    </row>
    <row r="616" spans="1:12" x14ac:dyDescent="0.3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13</v>
      </c>
      <c r="K616">
        <v>2</v>
      </c>
      <c r="L616">
        <f t="shared" si="9"/>
        <v>2</v>
      </c>
    </row>
    <row r="617" spans="1:12" x14ac:dyDescent="0.3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13</v>
      </c>
      <c r="K617">
        <v>2</v>
      </c>
      <c r="L617">
        <f t="shared" si="9"/>
        <v>2</v>
      </c>
    </row>
    <row r="618" spans="1:12" x14ac:dyDescent="0.3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15</v>
      </c>
      <c r="K618">
        <v>3</v>
      </c>
      <c r="L618">
        <f t="shared" si="9"/>
        <v>2</v>
      </c>
    </row>
    <row r="619" spans="1:12" x14ac:dyDescent="0.3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15</v>
      </c>
      <c r="K619">
        <v>3</v>
      </c>
      <c r="L619">
        <f t="shared" si="9"/>
        <v>2</v>
      </c>
    </row>
    <row r="620" spans="1:12" x14ac:dyDescent="0.3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15</v>
      </c>
      <c r="K620">
        <v>4</v>
      </c>
      <c r="L620">
        <f t="shared" si="9"/>
        <v>1</v>
      </c>
    </row>
    <row r="621" spans="1:12" x14ac:dyDescent="0.3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13</v>
      </c>
      <c r="K621">
        <v>3</v>
      </c>
      <c r="L621">
        <f t="shared" si="9"/>
        <v>2</v>
      </c>
    </row>
    <row r="622" spans="1:12" x14ac:dyDescent="0.3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15</v>
      </c>
      <c r="K622">
        <v>3</v>
      </c>
      <c r="L622">
        <f t="shared" si="9"/>
        <v>2</v>
      </c>
    </row>
    <row r="623" spans="1:12" x14ac:dyDescent="0.3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13</v>
      </c>
      <c r="K623">
        <v>1</v>
      </c>
      <c r="L623">
        <f t="shared" si="9"/>
        <v>2</v>
      </c>
    </row>
    <row r="624" spans="1:12" x14ac:dyDescent="0.3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15</v>
      </c>
      <c r="K624">
        <v>4</v>
      </c>
      <c r="L624">
        <f t="shared" si="9"/>
        <v>2</v>
      </c>
    </row>
    <row r="625" spans="1:12" x14ac:dyDescent="0.3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13</v>
      </c>
      <c r="K625">
        <v>1</v>
      </c>
      <c r="L625">
        <f t="shared" si="9"/>
        <v>1</v>
      </c>
    </row>
    <row r="626" spans="1:12" x14ac:dyDescent="0.3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13</v>
      </c>
      <c r="K626">
        <v>1</v>
      </c>
      <c r="L626">
        <f t="shared" si="9"/>
        <v>2</v>
      </c>
    </row>
    <row r="627" spans="1:12" x14ac:dyDescent="0.3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15</v>
      </c>
      <c r="K627">
        <v>1</v>
      </c>
      <c r="L627">
        <f t="shared" si="9"/>
        <v>1</v>
      </c>
    </row>
    <row r="628" spans="1:12" x14ac:dyDescent="0.3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15</v>
      </c>
      <c r="K628">
        <v>3</v>
      </c>
      <c r="L628">
        <f t="shared" si="9"/>
        <v>2</v>
      </c>
    </row>
    <row r="629" spans="1:12" x14ac:dyDescent="0.3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13</v>
      </c>
      <c r="K629">
        <v>3</v>
      </c>
      <c r="L629">
        <f t="shared" si="9"/>
        <v>2</v>
      </c>
    </row>
    <row r="630" spans="1:12" x14ac:dyDescent="0.3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13</v>
      </c>
      <c r="K630">
        <v>1</v>
      </c>
      <c r="L630">
        <f t="shared" si="9"/>
        <v>2</v>
      </c>
    </row>
    <row r="631" spans="1:12" x14ac:dyDescent="0.3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13</v>
      </c>
      <c r="K631">
        <v>4</v>
      </c>
      <c r="L631">
        <f t="shared" si="9"/>
        <v>1</v>
      </c>
    </row>
    <row r="632" spans="1:12" x14ac:dyDescent="0.3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13</v>
      </c>
      <c r="K632">
        <v>2</v>
      </c>
      <c r="L632">
        <f t="shared" si="9"/>
        <v>1</v>
      </c>
    </row>
    <row r="633" spans="1:12" x14ac:dyDescent="0.3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15</v>
      </c>
      <c r="K633">
        <v>3</v>
      </c>
      <c r="L633">
        <f t="shared" si="9"/>
        <v>2</v>
      </c>
    </row>
    <row r="634" spans="1:12" x14ac:dyDescent="0.3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15</v>
      </c>
      <c r="K634">
        <v>5</v>
      </c>
      <c r="L634">
        <f t="shared" si="9"/>
        <v>2</v>
      </c>
    </row>
    <row r="635" spans="1:12" x14ac:dyDescent="0.3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15</v>
      </c>
      <c r="K635">
        <v>2</v>
      </c>
      <c r="L635">
        <f t="shared" si="9"/>
        <v>1</v>
      </c>
    </row>
    <row r="636" spans="1:12" x14ac:dyDescent="0.3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13</v>
      </c>
      <c r="K636">
        <v>4</v>
      </c>
      <c r="L636">
        <f t="shared" si="9"/>
        <v>2</v>
      </c>
    </row>
    <row r="637" spans="1:12" x14ac:dyDescent="0.3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15</v>
      </c>
      <c r="K637">
        <v>2</v>
      </c>
      <c r="L637">
        <f t="shared" si="9"/>
        <v>2</v>
      </c>
    </row>
    <row r="638" spans="1:12" x14ac:dyDescent="0.3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13</v>
      </c>
      <c r="K638">
        <v>5</v>
      </c>
      <c r="L638">
        <f t="shared" si="9"/>
        <v>2</v>
      </c>
    </row>
    <row r="639" spans="1:12" x14ac:dyDescent="0.3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15</v>
      </c>
      <c r="K639">
        <v>1</v>
      </c>
      <c r="L639">
        <f t="shared" si="9"/>
        <v>1</v>
      </c>
    </row>
    <row r="640" spans="1:12" x14ac:dyDescent="0.3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15</v>
      </c>
      <c r="K640">
        <v>4</v>
      </c>
      <c r="L640">
        <f t="shared" si="9"/>
        <v>2</v>
      </c>
    </row>
    <row r="641" spans="1:12" x14ac:dyDescent="0.3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15</v>
      </c>
      <c r="K641">
        <v>5</v>
      </c>
      <c r="L641">
        <f t="shared" si="9"/>
        <v>2</v>
      </c>
    </row>
    <row r="642" spans="1:12" x14ac:dyDescent="0.3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13</v>
      </c>
      <c r="K642">
        <v>1</v>
      </c>
      <c r="L642">
        <f t="shared" si="9"/>
        <v>2</v>
      </c>
    </row>
    <row r="643" spans="1:12" x14ac:dyDescent="0.3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15</v>
      </c>
      <c r="K643">
        <v>1</v>
      </c>
      <c r="L643">
        <f t="shared" ref="L643:L701" si="10">IF(AND(I643&gt;18,I643&lt;35),1,2)</f>
        <v>1</v>
      </c>
    </row>
    <row r="644" spans="1:12" x14ac:dyDescent="0.3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13</v>
      </c>
      <c r="K644">
        <v>5</v>
      </c>
      <c r="L644">
        <f t="shared" si="10"/>
        <v>1</v>
      </c>
    </row>
    <row r="645" spans="1:12" x14ac:dyDescent="0.3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13</v>
      </c>
      <c r="K645">
        <v>2</v>
      </c>
      <c r="L645">
        <f t="shared" si="10"/>
        <v>2</v>
      </c>
    </row>
    <row r="646" spans="1:12" x14ac:dyDescent="0.3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15</v>
      </c>
      <c r="K646">
        <v>3</v>
      </c>
      <c r="L646">
        <f t="shared" si="10"/>
        <v>1</v>
      </c>
    </row>
    <row r="647" spans="1:12" x14ac:dyDescent="0.3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15</v>
      </c>
      <c r="K647">
        <v>2</v>
      </c>
      <c r="L647">
        <f t="shared" si="10"/>
        <v>1</v>
      </c>
    </row>
    <row r="648" spans="1:12" x14ac:dyDescent="0.3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15</v>
      </c>
      <c r="K648">
        <v>1</v>
      </c>
      <c r="L648">
        <f t="shared" si="10"/>
        <v>2</v>
      </c>
    </row>
    <row r="649" spans="1:12" x14ac:dyDescent="0.3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15</v>
      </c>
      <c r="K649">
        <v>1</v>
      </c>
      <c r="L649">
        <f t="shared" si="10"/>
        <v>2</v>
      </c>
    </row>
    <row r="650" spans="1:12" x14ac:dyDescent="0.3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13</v>
      </c>
      <c r="K650">
        <v>4</v>
      </c>
      <c r="L650">
        <f t="shared" si="10"/>
        <v>2</v>
      </c>
    </row>
    <row r="651" spans="1:12" x14ac:dyDescent="0.3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15</v>
      </c>
      <c r="K651">
        <v>3</v>
      </c>
      <c r="L651">
        <f t="shared" si="10"/>
        <v>1</v>
      </c>
    </row>
    <row r="652" spans="1:12" x14ac:dyDescent="0.3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13</v>
      </c>
      <c r="K652">
        <v>2</v>
      </c>
      <c r="L652">
        <f t="shared" si="10"/>
        <v>2</v>
      </c>
    </row>
    <row r="653" spans="1:12" x14ac:dyDescent="0.3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15</v>
      </c>
      <c r="K653">
        <v>1</v>
      </c>
      <c r="L653">
        <f t="shared" si="10"/>
        <v>2</v>
      </c>
    </row>
    <row r="654" spans="1:12" x14ac:dyDescent="0.3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13</v>
      </c>
      <c r="K654">
        <v>3</v>
      </c>
      <c r="L654">
        <f t="shared" si="10"/>
        <v>1</v>
      </c>
    </row>
    <row r="655" spans="1:12" x14ac:dyDescent="0.3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13</v>
      </c>
      <c r="K655">
        <v>1</v>
      </c>
      <c r="L655">
        <f t="shared" si="10"/>
        <v>1</v>
      </c>
    </row>
    <row r="656" spans="1:12" x14ac:dyDescent="0.3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13</v>
      </c>
      <c r="K656">
        <v>5</v>
      </c>
      <c r="L656">
        <f t="shared" si="10"/>
        <v>2</v>
      </c>
    </row>
    <row r="657" spans="1:12" x14ac:dyDescent="0.3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13</v>
      </c>
      <c r="K657">
        <v>2</v>
      </c>
      <c r="L657">
        <f t="shared" si="10"/>
        <v>2</v>
      </c>
    </row>
    <row r="658" spans="1:12" x14ac:dyDescent="0.3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15</v>
      </c>
      <c r="K658">
        <v>3</v>
      </c>
      <c r="L658">
        <f t="shared" si="10"/>
        <v>2</v>
      </c>
    </row>
    <row r="659" spans="1:12" x14ac:dyDescent="0.3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15</v>
      </c>
      <c r="K659">
        <v>3</v>
      </c>
      <c r="L659">
        <f t="shared" si="10"/>
        <v>2</v>
      </c>
    </row>
    <row r="660" spans="1:12" x14ac:dyDescent="0.3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15</v>
      </c>
      <c r="K660">
        <v>4</v>
      </c>
      <c r="L660">
        <f t="shared" si="10"/>
        <v>2</v>
      </c>
    </row>
    <row r="661" spans="1:12" x14ac:dyDescent="0.3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13</v>
      </c>
      <c r="K661">
        <v>5</v>
      </c>
      <c r="L661">
        <f t="shared" si="10"/>
        <v>2</v>
      </c>
    </row>
    <row r="662" spans="1:12" x14ac:dyDescent="0.3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13</v>
      </c>
      <c r="K662">
        <v>1</v>
      </c>
      <c r="L662">
        <f t="shared" si="10"/>
        <v>2</v>
      </c>
    </row>
    <row r="663" spans="1:12" x14ac:dyDescent="0.3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13</v>
      </c>
      <c r="K663">
        <v>2</v>
      </c>
      <c r="L663">
        <f t="shared" si="10"/>
        <v>2</v>
      </c>
    </row>
    <row r="664" spans="1:12" x14ac:dyDescent="0.3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13</v>
      </c>
      <c r="K664">
        <v>2</v>
      </c>
      <c r="L664">
        <f t="shared" si="10"/>
        <v>2</v>
      </c>
    </row>
    <row r="665" spans="1:12" x14ac:dyDescent="0.3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15</v>
      </c>
      <c r="K665">
        <v>4</v>
      </c>
      <c r="L665">
        <f t="shared" si="10"/>
        <v>2</v>
      </c>
    </row>
    <row r="666" spans="1:12" x14ac:dyDescent="0.3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13</v>
      </c>
      <c r="K666">
        <v>5</v>
      </c>
      <c r="L666">
        <f t="shared" si="10"/>
        <v>2</v>
      </c>
    </row>
    <row r="667" spans="1:12" x14ac:dyDescent="0.3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13</v>
      </c>
      <c r="K667">
        <v>3</v>
      </c>
      <c r="L667">
        <f t="shared" si="10"/>
        <v>2</v>
      </c>
    </row>
    <row r="668" spans="1:12" x14ac:dyDescent="0.3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13</v>
      </c>
      <c r="K668">
        <v>5</v>
      </c>
      <c r="L668">
        <f t="shared" si="10"/>
        <v>2</v>
      </c>
    </row>
    <row r="669" spans="1:12" x14ac:dyDescent="0.3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13</v>
      </c>
      <c r="K669">
        <v>3</v>
      </c>
      <c r="L669">
        <f t="shared" si="10"/>
        <v>2</v>
      </c>
    </row>
    <row r="670" spans="1:12" x14ac:dyDescent="0.3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13</v>
      </c>
      <c r="K670">
        <v>2</v>
      </c>
      <c r="L670">
        <f t="shared" si="10"/>
        <v>1</v>
      </c>
    </row>
    <row r="671" spans="1:12" x14ac:dyDescent="0.3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15</v>
      </c>
      <c r="K671">
        <v>2</v>
      </c>
      <c r="L671">
        <f t="shared" si="10"/>
        <v>1</v>
      </c>
    </row>
    <row r="672" spans="1:12" x14ac:dyDescent="0.3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13</v>
      </c>
      <c r="K672">
        <v>1</v>
      </c>
      <c r="L672">
        <f t="shared" si="10"/>
        <v>2</v>
      </c>
    </row>
    <row r="673" spans="1:12" x14ac:dyDescent="0.3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13</v>
      </c>
      <c r="K673">
        <v>4</v>
      </c>
      <c r="L673">
        <f t="shared" si="10"/>
        <v>1</v>
      </c>
    </row>
    <row r="674" spans="1:12" x14ac:dyDescent="0.3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13</v>
      </c>
      <c r="K674">
        <v>5</v>
      </c>
      <c r="L674">
        <f t="shared" si="10"/>
        <v>1</v>
      </c>
    </row>
    <row r="675" spans="1:12" x14ac:dyDescent="0.3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13</v>
      </c>
      <c r="K675">
        <v>1</v>
      </c>
      <c r="L675">
        <f t="shared" si="10"/>
        <v>2</v>
      </c>
    </row>
    <row r="676" spans="1:12" x14ac:dyDescent="0.3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15</v>
      </c>
      <c r="K676">
        <v>5</v>
      </c>
      <c r="L676">
        <f t="shared" si="10"/>
        <v>1</v>
      </c>
    </row>
    <row r="677" spans="1:12" x14ac:dyDescent="0.3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13</v>
      </c>
      <c r="K677">
        <v>1</v>
      </c>
      <c r="L677">
        <f t="shared" si="10"/>
        <v>2</v>
      </c>
    </row>
    <row r="678" spans="1:12" x14ac:dyDescent="0.3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13</v>
      </c>
      <c r="K678">
        <v>2</v>
      </c>
      <c r="L678">
        <f t="shared" si="10"/>
        <v>1</v>
      </c>
    </row>
    <row r="679" spans="1:12" x14ac:dyDescent="0.3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15</v>
      </c>
      <c r="K679">
        <v>2</v>
      </c>
      <c r="L679">
        <f t="shared" si="10"/>
        <v>2</v>
      </c>
    </row>
    <row r="680" spans="1:12" x14ac:dyDescent="0.3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15</v>
      </c>
      <c r="K680">
        <v>3</v>
      </c>
      <c r="L680">
        <f t="shared" si="10"/>
        <v>2</v>
      </c>
    </row>
    <row r="681" spans="1:12" x14ac:dyDescent="0.3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15</v>
      </c>
      <c r="K681">
        <v>1</v>
      </c>
      <c r="L681">
        <f t="shared" si="10"/>
        <v>2</v>
      </c>
    </row>
    <row r="682" spans="1:12" x14ac:dyDescent="0.3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15</v>
      </c>
      <c r="K682">
        <v>4</v>
      </c>
      <c r="L682">
        <f t="shared" si="10"/>
        <v>1</v>
      </c>
    </row>
    <row r="683" spans="1:12" x14ac:dyDescent="0.3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13</v>
      </c>
      <c r="K683">
        <v>4</v>
      </c>
      <c r="L683">
        <f t="shared" si="10"/>
        <v>1</v>
      </c>
    </row>
    <row r="684" spans="1:12" x14ac:dyDescent="0.3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13</v>
      </c>
      <c r="K684">
        <v>3</v>
      </c>
      <c r="L684">
        <f t="shared" si="10"/>
        <v>2</v>
      </c>
    </row>
    <row r="685" spans="1:12" x14ac:dyDescent="0.3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13</v>
      </c>
      <c r="K685">
        <v>1</v>
      </c>
      <c r="L685">
        <f t="shared" si="10"/>
        <v>2</v>
      </c>
    </row>
    <row r="686" spans="1:12" x14ac:dyDescent="0.3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13</v>
      </c>
      <c r="K686">
        <v>3</v>
      </c>
      <c r="L686">
        <f t="shared" si="10"/>
        <v>1</v>
      </c>
    </row>
    <row r="687" spans="1:12" x14ac:dyDescent="0.3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13</v>
      </c>
      <c r="K687">
        <v>4</v>
      </c>
      <c r="L687">
        <f t="shared" si="10"/>
        <v>2</v>
      </c>
    </row>
    <row r="688" spans="1:12" x14ac:dyDescent="0.3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13</v>
      </c>
      <c r="K688">
        <v>4</v>
      </c>
      <c r="L688">
        <f t="shared" si="10"/>
        <v>2</v>
      </c>
    </row>
    <row r="689" spans="1:12" x14ac:dyDescent="0.3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13</v>
      </c>
      <c r="K689">
        <v>4</v>
      </c>
      <c r="L689">
        <f t="shared" si="10"/>
        <v>2</v>
      </c>
    </row>
    <row r="690" spans="1:12" x14ac:dyDescent="0.3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15</v>
      </c>
      <c r="K690">
        <v>3</v>
      </c>
      <c r="L690">
        <f t="shared" si="10"/>
        <v>2</v>
      </c>
    </row>
    <row r="691" spans="1:12" x14ac:dyDescent="0.3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13</v>
      </c>
      <c r="K691">
        <v>5</v>
      </c>
      <c r="L691">
        <f t="shared" si="10"/>
        <v>1</v>
      </c>
    </row>
    <row r="692" spans="1:12" x14ac:dyDescent="0.3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13</v>
      </c>
      <c r="K692">
        <v>3</v>
      </c>
      <c r="L692">
        <f t="shared" si="10"/>
        <v>1</v>
      </c>
    </row>
    <row r="693" spans="1:12" x14ac:dyDescent="0.3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15</v>
      </c>
      <c r="K693">
        <v>2</v>
      </c>
      <c r="L693">
        <f t="shared" si="10"/>
        <v>2</v>
      </c>
    </row>
    <row r="694" spans="1:12" x14ac:dyDescent="0.3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15</v>
      </c>
      <c r="K694">
        <v>4</v>
      </c>
      <c r="L694">
        <f t="shared" si="10"/>
        <v>2</v>
      </c>
    </row>
    <row r="695" spans="1:12" x14ac:dyDescent="0.3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13</v>
      </c>
      <c r="K695">
        <v>5</v>
      </c>
      <c r="L695">
        <f t="shared" si="10"/>
        <v>1</v>
      </c>
    </row>
    <row r="696" spans="1:12" x14ac:dyDescent="0.3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15</v>
      </c>
      <c r="K696">
        <v>5</v>
      </c>
      <c r="L696">
        <f t="shared" si="10"/>
        <v>1</v>
      </c>
    </row>
    <row r="697" spans="1:12" x14ac:dyDescent="0.3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13</v>
      </c>
      <c r="K697">
        <v>2</v>
      </c>
      <c r="L697">
        <f t="shared" si="10"/>
        <v>1</v>
      </c>
    </row>
    <row r="698" spans="1:12" x14ac:dyDescent="0.3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13</v>
      </c>
      <c r="K698">
        <v>4</v>
      </c>
      <c r="L698">
        <f t="shared" si="10"/>
        <v>2</v>
      </c>
    </row>
    <row r="699" spans="1:12" x14ac:dyDescent="0.3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15</v>
      </c>
      <c r="K699">
        <v>2</v>
      </c>
      <c r="L699">
        <f t="shared" si="10"/>
        <v>2</v>
      </c>
    </row>
    <row r="700" spans="1:12" x14ac:dyDescent="0.3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13</v>
      </c>
      <c r="K700">
        <v>1</v>
      </c>
      <c r="L700">
        <f t="shared" si="10"/>
        <v>2</v>
      </c>
    </row>
    <row r="701" spans="1:12" x14ac:dyDescent="0.3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15</v>
      </c>
      <c r="K701">
        <v>3</v>
      </c>
      <c r="L701">
        <f t="shared" si="10"/>
        <v>1</v>
      </c>
    </row>
  </sheetData>
  <autoFilter ref="A1:L701" xr:uid="{054B8648-37E3-48F2-9FF9-C5FE6A0AD3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user_behavior_dataset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R</dc:creator>
  <cp:lastModifiedBy>Prem Ramamoorthy</cp:lastModifiedBy>
  <dcterms:created xsi:type="dcterms:W3CDTF">2026-01-30T10:45:15Z</dcterms:created>
  <dcterms:modified xsi:type="dcterms:W3CDTF">2026-02-15T10:21:35Z</dcterms:modified>
</cp:coreProperties>
</file>